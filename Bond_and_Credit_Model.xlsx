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nd" sheetId="1" state="visible" r:id="rId3"/>
    <sheet name="Credi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<sst xmlns="http://schemas.openxmlformats.org/spreadsheetml/2006/main" count="45" uniqueCount="45">
  <si>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Corporate Bond Pricing and Credit Analysis</t>
  </si>
  <si>
    <t xml:space="preserve">Price per ₹100 face value. Blue cells are inputs.</t>
  </si>
  <si>
    <t xml:space="preserve">Coupon (annual rate)</t>
  </si>
  <si>
    <t xml:space="preserve">Years to maturity</t>
  </si>
  <si>
    <t xml:space="preserve">Payments per year</t>
  </si>
  <si>
    <t xml:space="preserve">Yield to maturity</t>
  </si>
  <si>
    <t xml:space="preserve">Modified duration</t>
  </si>
  <si>
    <t xml:space="preserve">Government bond yield, same tenor</t>
  </si>
  <si>
    <t xml:space="preserve">Convexity</t>
  </si>
  <si>
    <t xml:space="preserve">Yield shock for scenario (bp)</t>
  </si>
  <si>
    <t xml:space="preserve">Spread over government bond (bp)</t>
  </si>
  <si>
    <t xml:space="preserve">Price if yield rises by shock</t>
  </si>
  <si>
    <t xml:space="preserve">Results</t>
  </si>
  <si>
    <t xml:space="preserve">Change (%)</t>
  </si>
  <si>
    <t xml:space="preserve">Price</t>
  </si>
  <si>
    <t xml:space="preserve">(price after shock)</t>
  </si>
  <si>
    <t xml:space="preserve">Current yield</t>
  </si>
  <si>
    <t xml:space="preserve">Period</t>
  </si>
  <si>
    <t xml:space="preserve">Cash flow</t>
  </si>
  <si>
    <t xml:space="preserve">Discount factor</t>
  </si>
  <si>
    <t xml:space="preserve">PV</t>
  </si>
  <si>
    <t xml:space="preserve">Convexity term</t>
  </si>
  <si>
    <t xml:space="preserve">PV after shock</t>
  </si>
  <si>
    <t xml:space="preserve">Issuer credit view and indicative NCD terms</t>
  </si>
  <si>
    <t xml:space="preserve">₹ crore. The rating band is a simple teaching heuristic on leverage and interest cover, not an agency methodology.</t>
  </si>
  <si>
    <t xml:space="preserve">EBITDA</t>
  </si>
  <si>
    <t xml:space="preserve">Total debt</t>
  </si>
  <si>
    <t xml:space="preserve">Cash</t>
  </si>
  <si>
    <t xml:space="preserve">Interest expense</t>
  </si>
  <si>
    <t xml:space="preserve">Proposed NCD issue size</t>
  </si>
  <si>
    <t xml:space="preserve">NCD tenor (years)</t>
  </si>
  <si>
    <t xml:space="preserve">Credit metrics</t>
  </si>
  <si>
    <t xml:space="preserve">Net debt</t>
  </si>
  <si>
    <t xml:space="preserve">Rating band</t>
  </si>
  <si>
    <t xml:space="preserve">Spread (bp), illustrative</t>
  </si>
  <si>
    <t xml:space="preserve">Net debt / EBITDA</t>
  </si>
  <si>
    <t xml:space="preserve">AAA to AA</t>
  </si>
  <si>
    <t xml:space="preserve">Interest cover (EBITDA / interest)</t>
  </si>
  <si>
    <t xml:space="preserve">A</t>
  </si>
  <si>
    <t xml:space="preserve">Pro forma net debt / EBITDA after issue</t>
  </si>
  <si>
    <t xml:space="preserve">BBB</t>
  </si>
  <si>
    <t xml:space="preserve">Indicative rating band</t>
  </si>
  <si>
    <t xml:space="preserve">Below investment grade</t>
  </si>
  <si>
    <t xml:space="preserve">Indicative spread over government bond (bp)</t>
  </si>
  <si>
    <t xml:space="preserve">Indicative NCD coupon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</si>
</sst>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0"/>
    <numFmt numFmtId="167" formatCode="0.00"/>
    <numFmt numFmtId="168" formatCode="0.0000"/>
    <numFmt numFmtId="169" formatCode="#,##0.00;\(#,##0.00\);\-"/>
    <numFmt numFmtId="170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3213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3213A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3213A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321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30"/>
    <col collapsed="false" customWidth="true" hidden="false" outlineLevel="0" max="7" min="5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0.08</v>
      </c>
    </row>
    <row r="5" customFormat="false" ht="15" hidden="false" customHeight="false" outlineLevel="0" collapsed="false">
      <c r="A5" s="3" t="s">
        <v>3</v>
      </c>
      <c r="B5" s="5" t="n">
        <v>5</v>
      </c>
    </row>
    <row r="6" customFormat="false" ht="15" hidden="false" customHeight="false" outlineLevel="0" collapsed="false">
      <c r="A6" s="3" t="s">
        <v>4</v>
      </c>
      <c r="B6" s="5" t="n">
        <v>1</v>
      </c>
    </row>
    <row r="7" customFormat="false" ht="15" hidden="false" customHeight="false" outlineLevel="0" collapsed="false">
      <c r="A7" s="3" t="s">
        <v>5</v>
      </c>
      <c r="B7" s="4" t="n">
        <v>0.085</v>
      </c>
      <c r="D7" s="3" t="s">
        <v>6</v>
      </c>
      <c r="G7" s="6" t="n">
        <f aca="false">B14/(1+B7/B6)</f>
        <v>3.96728583913149</v>
      </c>
    </row>
    <row r="8" customFormat="false" ht="15" hidden="false" customHeight="false" outlineLevel="0" collapsed="false">
      <c r="A8" s="3" t="s">
        <v>7</v>
      </c>
      <c r="B8" s="4" t="n">
        <v>0.068</v>
      </c>
      <c r="D8" s="3" t="s">
        <v>8</v>
      </c>
      <c r="G8" s="6" t="n">
        <f aca="false">SUMPRODUCT(F15:F74)/(B12*B6^2)</f>
        <v>20.8043020081154</v>
      </c>
    </row>
    <row r="9" customFormat="false" ht="15" hidden="false" customHeight="false" outlineLevel="0" collapsed="false">
      <c r="A9" s="3" t="s">
        <v>9</v>
      </c>
      <c r="B9" s="5" t="n">
        <v>100</v>
      </c>
      <c r="D9" s="3" t="s">
        <v>10</v>
      </c>
      <c r="G9" s="7" t="n">
        <f aca="false">(B7-B8)*10000</f>
        <v>170</v>
      </c>
    </row>
    <row r="10" customFormat="false" ht="15" hidden="false" customHeight="false" outlineLevel="0" collapsed="false">
      <c r="D10" s="3" t="s">
        <v>11</v>
      </c>
      <c r="G10" s="6" t="n">
        <f aca="false">SUM(G15:G74)</f>
        <v>94.2404368202399</v>
      </c>
    </row>
    <row r="11" customFormat="false" ht="15" hidden="false" customHeight="false" outlineLevel="0" collapsed="false">
      <c r="A11" s="8" t="s">
        <v>12</v>
      </c>
      <c r="D11" s="3" t="s">
        <v>13</v>
      </c>
      <c r="G11" s="9" t="n">
        <f aca="false">G12/B12-1</f>
        <v>-0.0386540298862587</v>
      </c>
    </row>
    <row r="12" customFormat="false" ht="15" hidden="false" customHeight="false" outlineLevel="0" collapsed="false">
      <c r="A12" s="3" t="s">
        <v>14</v>
      </c>
      <c r="B12" s="6" t="n">
        <f aca="false">SUM(E15:E74)</f>
        <v>98.0296789605202</v>
      </c>
      <c r="D12" s="2" t="s">
        <v>15</v>
      </c>
      <c r="G12" s="6" t="n">
        <f aca="false">G10</f>
        <v>94.2404368202399</v>
      </c>
    </row>
    <row r="13" customFormat="false" ht="15" hidden="false" customHeight="false" outlineLevel="0" collapsed="false">
      <c r="A13" s="3" t="s">
        <v>16</v>
      </c>
      <c r="B13" s="9" t="n">
        <f aca="false">B4*100/B12</f>
        <v>0.0816079383797826</v>
      </c>
    </row>
    <row r="14" customFormat="false" ht="15" hidden="false" customHeight="false" outlineLevel="0" collapsed="false">
      <c r="A14" s="10" t="s">
        <v>17</v>
      </c>
      <c r="B14" s="11" t="n">
        <f aca="false">SUMPRODUCT(B15:B74,E15:E74)/B12</f>
        <v>4.30450513545767</v>
      </c>
      <c r="C14" s="10" t="s">
        <v>18</v>
      </c>
      <c r="D14" s="10" t="s">
        <v>19</v>
      </c>
      <c r="E14" s="10" t="s">
        <v>20</v>
      </c>
      <c r="F14" s="10" t="s">
        <v>21</v>
      </c>
      <c r="G14" s="10" t="s">
        <v>22</v>
      </c>
    </row>
    <row r="15" customFormat="false" ht="15" hidden="false" customHeight="false" outlineLevel="0" collapsed="false">
      <c r="A15" s="3" t="n">
        <v>1</v>
      </c>
      <c r="B15" s="12" t="n">
        <f aca="false">IF(A15&lt;=$B$5*$B$6,A15/$B$6,0)</f>
        <v>1</v>
      </c>
      <c r="C15" s="12" t="n">
        <f aca="false">IF(A15&lt;=$B$5*$B$6,$B$4*100/$B$6+IF(A15=$B$5*$B$6,100,0),0)</f>
        <v>8</v>
      </c>
      <c r="D15" s="13" t="n">
        <f aca="false">IF(C15=0,0,1/(1+$B$7/$B$6)^A15)</f>
        <v>0.921658986175115</v>
      </c>
      <c r="E15" s="12" t="n">
        <f aca="false">C15*D15</f>
        <v>7.37327188940092</v>
      </c>
      <c r="F15" s="12" t="n">
        <f aca="false">IF(C15=0,0,C15*A15*(A15+1)/(1+$B$7/$B$6)^(A15+2))</f>
        <v>12.5265295748917</v>
      </c>
      <c r="G15" s="12" t="n">
        <f aca="false">IF(C15=0,0,C15/(1+($B$7+$B$9/10000)/$B$6)^A15)</f>
        <v>7.30593607305936</v>
      </c>
    </row>
    <row r="16" customFormat="false" ht="15" hidden="false" customHeight="false" outlineLevel="0" collapsed="false">
      <c r="A16" s="3" t="n">
        <v>2</v>
      </c>
      <c r="B16" s="12" t="n">
        <f aca="false">IF(A16&lt;=$B$5*$B$6,A16/$B$6,0)</f>
        <v>2</v>
      </c>
      <c r="C16" s="12" t="n">
        <f aca="false">IF(A16&lt;=$B$5*$B$6,$B$4*100/$B$6+IF(A16=$B$5*$B$6,100,0),0)</f>
        <v>8</v>
      </c>
      <c r="D16" s="13" t="n">
        <f aca="false">IF(C16=0,0,1/(1+$B$7/$B$6)^A16)</f>
        <v>0.849455286797341</v>
      </c>
      <c r="E16" s="12" t="n">
        <f aca="false">C16*D16</f>
        <v>6.79564229437873</v>
      </c>
      <c r="F16" s="12" t="n">
        <f aca="false">IF(C16=0,0,C16*A16*(A16+1)/(1+$B$7/$B$6)^(A16+2))</f>
        <v>34.6355656448618</v>
      </c>
      <c r="G16" s="12" t="n">
        <f aca="false">IF(C16=0,0,C16/(1+($B$7+$B$9/10000)/$B$6)^A16)</f>
        <v>6.67208773795375</v>
      </c>
    </row>
    <row r="17" customFormat="false" ht="15" hidden="false" customHeight="false" outlineLevel="0" collapsed="false">
      <c r="A17" s="3" t="n">
        <v>3</v>
      </c>
      <c r="B17" s="12" t="n">
        <f aca="false">IF(A17&lt;=$B$5*$B$6,A17/$B$6,0)</f>
        <v>3</v>
      </c>
      <c r="C17" s="12" t="n">
        <f aca="false">IF(A17&lt;=$B$5*$B$6,$B$4*100/$B$6+IF(A17=$B$5*$B$6,100,0),0)</f>
        <v>8</v>
      </c>
      <c r="D17" s="13" t="n">
        <f aca="false">IF(C17=0,0,1/(1+$B$7/$B$6)^A17)</f>
        <v>0.782908098430729</v>
      </c>
      <c r="E17" s="12" t="n">
        <f aca="false">C17*D17</f>
        <v>6.26326478744584</v>
      </c>
      <c r="F17" s="12" t="n">
        <f aca="false">IF(C17=0,0,C17*A17*(A17+1)/(1+$B$7/$B$6)^(A17+2))</f>
        <v>63.8443606356899</v>
      </c>
      <c r="G17" s="12" t="n">
        <f aca="false">IF(C17=0,0,C17/(1+($B$7+$B$9/10000)/$B$6)^A17)</f>
        <v>6.09323081091667</v>
      </c>
    </row>
    <row r="18" customFormat="false" ht="15" hidden="false" customHeight="false" outlineLevel="0" collapsed="false">
      <c r="A18" s="3" t="n">
        <v>4</v>
      </c>
      <c r="B18" s="12" t="n">
        <f aca="false">IF(A18&lt;=$B$5*$B$6,A18/$B$6,0)</f>
        <v>4</v>
      </c>
      <c r="C18" s="12" t="n">
        <f aca="false">IF(A18&lt;=$B$5*$B$6,$B$4*100/$B$6+IF(A18=$B$5*$B$6,100,0),0)</f>
        <v>8</v>
      </c>
      <c r="D18" s="13" t="n">
        <f aca="false">IF(C18=0,0,1/(1+$B$7/$B$6)^A18)</f>
        <v>0.721574284267953</v>
      </c>
      <c r="E18" s="12" t="n">
        <f aca="false">C18*D18</f>
        <v>5.77259427414363</v>
      </c>
      <c r="F18" s="12" t="n">
        <f aca="false">IF(C18=0,0,C18*A18*(A18+1)/(1+$B$7/$B$6)^(A18+2))</f>
        <v>98.0712144941473</v>
      </c>
      <c r="G18" s="12" t="n">
        <f aca="false">IF(C18=0,0,C18/(1+($B$7+$B$9/10000)/$B$6)^A18)</f>
        <v>5.56459434786911</v>
      </c>
    </row>
    <row r="19" customFormat="false" ht="15" hidden="false" customHeight="false" outlineLevel="0" collapsed="false">
      <c r="A19" s="3" t="n">
        <v>5</v>
      </c>
      <c r="B19" s="12" t="n">
        <f aca="false">IF(A19&lt;=$B$5*$B$6,A19/$B$6,0)</f>
        <v>5</v>
      </c>
      <c r="C19" s="12" t="n">
        <f aca="false">IF(A19&lt;=$B$5*$B$6,$B$4*100/$B$6+IF(A19=$B$5*$B$6,100,0),0)</f>
        <v>108</v>
      </c>
      <c r="D19" s="13" t="n">
        <f aca="false">IF(C19=0,0,1/(1+$B$7/$B$6)^A19)</f>
        <v>0.665045423288436</v>
      </c>
      <c r="E19" s="12" t="n">
        <f aca="false">C19*D19</f>
        <v>71.8249057151511</v>
      </c>
      <c r="F19" s="12" t="n">
        <f aca="false">IF(C19=0,0,C19*A19*(A19+1)/(1+$B$7/$B$6)^(A19+2))</f>
        <v>1830.36137650367</v>
      </c>
      <c r="G19" s="12" t="n">
        <f aca="false">IF(C19=0,0,C19/(1+($B$7+$B$9/10000)/$B$6)^A19)</f>
        <v>68.604587850441</v>
      </c>
    </row>
    <row r="20" customFormat="false" ht="15" hidden="false" customHeight="false" outlineLevel="0" collapsed="false">
      <c r="A20" s="3" t="n">
        <v>6</v>
      </c>
      <c r="B20" s="12" t="n">
        <f aca="false">IF(A20&lt;=$B$5*$B$6,A20/$B$6,0)</f>
        <v>0</v>
      </c>
      <c r="C20" s="12" t="n">
        <f aca="false">IF(A20&lt;=$B$5*$B$6,$B$4*100/$B$6+IF(A20=$B$5*$B$6,100,0),0)</f>
        <v>0</v>
      </c>
      <c r="D20" s="13" t="n">
        <f aca="false">IF(C20=0,0,1/(1+$B$7/$B$6)^A20)</f>
        <v>0</v>
      </c>
      <c r="E20" s="12" t="n">
        <f aca="false">C20*D20</f>
        <v>0</v>
      </c>
      <c r="F20" s="12" t="n">
        <f aca="false">IF(C20=0,0,C20*A20*(A20+1)/(1+$B$7/$B$6)^(A20+2))</f>
        <v>0</v>
      </c>
      <c r="G20" s="12" t="n">
        <f aca="false">IF(C20=0,0,C20/(1+($B$7+$B$9/10000)/$B$6)^A20)</f>
        <v>0</v>
      </c>
    </row>
    <row r="21" customFormat="false" ht="15" hidden="false" customHeight="false" outlineLevel="0" collapsed="false">
      <c r="A21" s="3" t="n">
        <v>7</v>
      </c>
      <c r="B21" s="12" t="n">
        <f aca="false">IF(A21&lt;=$B$5*$B$6,A21/$B$6,0)</f>
        <v>0</v>
      </c>
      <c r="C21" s="12" t="n">
        <f aca="false">IF(A21&lt;=$B$5*$B$6,$B$4*100/$B$6+IF(A21=$B$5*$B$6,100,0),0)</f>
        <v>0</v>
      </c>
      <c r="D21" s="13" t="n">
        <f aca="false">IF(C21=0,0,1/(1+$B$7/$B$6)^A21)</f>
        <v>0</v>
      </c>
      <c r="E21" s="12" t="n">
        <f aca="false">C21*D21</f>
        <v>0</v>
      </c>
      <c r="F21" s="12" t="n">
        <f aca="false">IF(C21=0,0,C21*A21*(A21+1)/(1+$B$7/$B$6)^(A21+2))</f>
        <v>0</v>
      </c>
      <c r="G21" s="12" t="n">
        <f aca="false">IF(C21=0,0,C21/(1+($B$7+$B$9/10000)/$B$6)^A21)</f>
        <v>0</v>
      </c>
    </row>
    <row r="22" customFormat="false" ht="15" hidden="false" customHeight="false" outlineLevel="0" collapsed="false">
      <c r="A22" s="3" t="n">
        <v>8</v>
      </c>
      <c r="B22" s="12" t="n">
        <f aca="false">IF(A22&lt;=$B$5*$B$6,A22/$B$6,0)</f>
        <v>0</v>
      </c>
      <c r="C22" s="12" t="n">
        <f aca="false">IF(A22&lt;=$B$5*$B$6,$B$4*100/$B$6+IF(A22=$B$5*$B$6,100,0),0)</f>
        <v>0</v>
      </c>
      <c r="D22" s="13" t="n">
        <f aca="false">IF(C22=0,0,1/(1+$B$7/$B$6)^A22)</f>
        <v>0</v>
      </c>
      <c r="E22" s="12" t="n">
        <f aca="false">C22*D22</f>
        <v>0</v>
      </c>
      <c r="F22" s="12" t="n">
        <f aca="false">IF(C22=0,0,C22*A22*(A22+1)/(1+$B$7/$B$6)^(A22+2))</f>
        <v>0</v>
      </c>
      <c r="G22" s="12" t="n">
        <f aca="false">IF(C22=0,0,C22/(1+($B$7+$B$9/10000)/$B$6)^A22)</f>
        <v>0</v>
      </c>
    </row>
    <row r="23" customFormat="false" ht="15" hidden="false" customHeight="false" outlineLevel="0" collapsed="false">
      <c r="A23" s="3" t="n">
        <v>9</v>
      </c>
      <c r="B23" s="12" t="n">
        <f aca="false">IF(A23&lt;=$B$5*$B$6,A23/$B$6,0)</f>
        <v>0</v>
      </c>
      <c r="C23" s="12" t="n">
        <f aca="false">IF(A23&lt;=$B$5*$B$6,$B$4*100/$B$6+IF(A23=$B$5*$B$6,100,0),0)</f>
        <v>0</v>
      </c>
      <c r="D23" s="13" t="n">
        <f aca="false">IF(C23=0,0,1/(1+$B$7/$B$6)^A23)</f>
        <v>0</v>
      </c>
      <c r="E23" s="12" t="n">
        <f aca="false">C23*D23</f>
        <v>0</v>
      </c>
      <c r="F23" s="12" t="n">
        <f aca="false">IF(C23=0,0,C23*A23*(A23+1)/(1+$B$7/$B$6)^(A23+2))</f>
        <v>0</v>
      </c>
      <c r="G23" s="12" t="n">
        <f aca="false">IF(C23=0,0,C23/(1+($B$7+$B$9/10000)/$B$6)^A23)</f>
        <v>0</v>
      </c>
    </row>
    <row r="24" customFormat="false" ht="15" hidden="false" customHeight="false" outlineLevel="0" collapsed="false">
      <c r="A24" s="3" t="n">
        <v>10</v>
      </c>
      <c r="B24" s="12" t="n">
        <f aca="false">IF(A24&lt;=$B$5*$B$6,A24/$B$6,0)</f>
        <v>0</v>
      </c>
      <c r="C24" s="12" t="n">
        <f aca="false">IF(A24&lt;=$B$5*$B$6,$B$4*100/$B$6+IF(A24=$B$5*$B$6,100,0),0)</f>
        <v>0</v>
      </c>
      <c r="D24" s="13" t="n">
        <f aca="false">IF(C24=0,0,1/(1+$B$7/$B$6)^A24)</f>
        <v>0</v>
      </c>
      <c r="E24" s="12" t="n">
        <f aca="false">C24*D24</f>
        <v>0</v>
      </c>
      <c r="F24" s="12" t="n">
        <f aca="false">IF(C24=0,0,C24*A24*(A24+1)/(1+$B$7/$B$6)^(A24+2))</f>
        <v>0</v>
      </c>
      <c r="G24" s="12" t="n">
        <f aca="false">IF(C24=0,0,C24/(1+($B$7+$B$9/10000)/$B$6)^A24)</f>
        <v>0</v>
      </c>
    </row>
    <row r="25" customFormat="false" ht="15" hidden="false" customHeight="false" outlineLevel="0" collapsed="false">
      <c r="A25" s="3" t="n">
        <v>11</v>
      </c>
      <c r="B25" s="12" t="n">
        <f aca="false">IF(A25&lt;=$B$5*$B$6,A25/$B$6,0)</f>
        <v>0</v>
      </c>
      <c r="C25" s="12" t="n">
        <f aca="false">IF(A25&lt;=$B$5*$B$6,$B$4*100/$B$6+IF(A25=$B$5*$B$6,100,0),0)</f>
        <v>0</v>
      </c>
      <c r="D25" s="13" t="n">
        <f aca="false">IF(C25=0,0,1/(1+$B$7/$B$6)^A25)</f>
        <v>0</v>
      </c>
      <c r="E25" s="12" t="n">
        <f aca="false">C25*D25</f>
        <v>0</v>
      </c>
      <c r="F25" s="12" t="n">
        <f aca="false">IF(C25=0,0,C25*A25*(A25+1)/(1+$B$7/$B$6)^(A25+2))</f>
        <v>0</v>
      </c>
      <c r="G25" s="12" t="n">
        <f aca="false">IF(C25=0,0,C25/(1+($B$7+$B$9/10000)/$B$6)^A25)</f>
        <v>0</v>
      </c>
    </row>
    <row r="26" customFormat="false" ht="15" hidden="false" customHeight="false" outlineLevel="0" collapsed="false">
      <c r="A26" s="3" t="n">
        <v>12</v>
      </c>
      <c r="B26" s="12" t="n">
        <f aca="false">IF(A26&lt;=$B$5*$B$6,A26/$B$6,0)</f>
        <v>0</v>
      </c>
      <c r="C26" s="12" t="n">
        <f aca="false">IF(A26&lt;=$B$5*$B$6,$B$4*100/$B$6+IF(A26=$B$5*$B$6,100,0),0)</f>
        <v>0</v>
      </c>
      <c r="D26" s="13" t="n">
        <f aca="false">IF(C26=0,0,1/(1+$B$7/$B$6)^A26)</f>
        <v>0</v>
      </c>
      <c r="E26" s="12" t="n">
        <f aca="false">C26*D26</f>
        <v>0</v>
      </c>
      <c r="F26" s="12" t="n">
        <f aca="false">IF(C26=0,0,C26*A26*(A26+1)/(1+$B$7/$B$6)^(A26+2))</f>
        <v>0</v>
      </c>
      <c r="G26" s="12" t="n">
        <f aca="false">IF(C26=0,0,C26/(1+($B$7+$B$9/10000)/$B$6)^A26)</f>
        <v>0</v>
      </c>
    </row>
    <row r="27" customFormat="false" ht="15" hidden="false" customHeight="false" outlineLevel="0" collapsed="false">
      <c r="A27" s="3" t="n">
        <v>13</v>
      </c>
      <c r="B27" s="12" t="n">
        <f aca="false">IF(A27&lt;=$B$5*$B$6,A27/$B$6,0)</f>
        <v>0</v>
      </c>
      <c r="C27" s="12" t="n">
        <f aca="false">IF(A27&lt;=$B$5*$B$6,$B$4*100/$B$6+IF(A27=$B$5*$B$6,100,0),0)</f>
        <v>0</v>
      </c>
      <c r="D27" s="13" t="n">
        <f aca="false">IF(C27=0,0,1/(1+$B$7/$B$6)^A27)</f>
        <v>0</v>
      </c>
      <c r="E27" s="12" t="n">
        <f aca="false">C27*D27</f>
        <v>0</v>
      </c>
      <c r="F27" s="12" t="n">
        <f aca="false">IF(C27=0,0,C27*A27*(A27+1)/(1+$B$7/$B$6)^(A27+2))</f>
        <v>0</v>
      </c>
      <c r="G27" s="12" t="n">
        <f aca="false">IF(C27=0,0,C27/(1+($B$7+$B$9/10000)/$B$6)^A27)</f>
        <v>0</v>
      </c>
    </row>
    <row r="28" customFormat="false" ht="15" hidden="false" customHeight="false" outlineLevel="0" collapsed="false">
      <c r="A28" s="3" t="n">
        <v>14</v>
      </c>
      <c r="B28" s="12" t="n">
        <f aca="false">IF(A28&lt;=$B$5*$B$6,A28/$B$6,0)</f>
        <v>0</v>
      </c>
      <c r="C28" s="12" t="n">
        <f aca="false">IF(A28&lt;=$B$5*$B$6,$B$4*100/$B$6+IF(A28=$B$5*$B$6,100,0),0)</f>
        <v>0</v>
      </c>
      <c r="D28" s="13" t="n">
        <f aca="false">IF(C28=0,0,1/(1+$B$7/$B$6)^A28)</f>
        <v>0</v>
      </c>
      <c r="E28" s="12" t="n">
        <f aca="false">C28*D28</f>
        <v>0</v>
      </c>
      <c r="F28" s="12" t="n">
        <f aca="false">IF(C28=0,0,C28*A28*(A28+1)/(1+$B$7/$B$6)^(A28+2))</f>
        <v>0</v>
      </c>
      <c r="G28" s="12" t="n">
        <f aca="false">IF(C28=0,0,C28/(1+($B$7+$B$9/10000)/$B$6)^A28)</f>
        <v>0</v>
      </c>
    </row>
    <row r="29" customFormat="false" ht="15" hidden="false" customHeight="false" outlineLevel="0" collapsed="false">
      <c r="A29" s="3" t="n">
        <v>15</v>
      </c>
      <c r="B29" s="12" t="n">
        <f aca="false">IF(A29&lt;=$B$5*$B$6,A29/$B$6,0)</f>
        <v>0</v>
      </c>
      <c r="C29" s="12" t="n">
        <f aca="false">IF(A29&lt;=$B$5*$B$6,$B$4*100/$B$6+IF(A29=$B$5*$B$6,100,0),0)</f>
        <v>0</v>
      </c>
      <c r="D29" s="13" t="n">
        <f aca="false">IF(C29=0,0,1/(1+$B$7/$B$6)^A29)</f>
        <v>0</v>
      </c>
      <c r="E29" s="12" t="n">
        <f aca="false">C29*D29</f>
        <v>0</v>
      </c>
      <c r="F29" s="12" t="n">
        <f aca="false">IF(C29=0,0,C29*A29*(A29+1)/(1+$B$7/$B$6)^(A29+2))</f>
        <v>0</v>
      </c>
      <c r="G29" s="12" t="n">
        <f aca="false">IF(C29=0,0,C29/(1+($B$7+$B$9/10000)/$B$6)^A29)</f>
        <v>0</v>
      </c>
    </row>
    <row r="30" customFormat="false" ht="15" hidden="false" customHeight="false" outlineLevel="0" collapsed="false">
      <c r="A30" s="3" t="n">
        <v>16</v>
      </c>
      <c r="B30" s="12" t="n">
        <f aca="false">IF(A30&lt;=$B$5*$B$6,A30/$B$6,0)</f>
        <v>0</v>
      </c>
      <c r="C30" s="12" t="n">
        <f aca="false">IF(A30&lt;=$B$5*$B$6,$B$4*100/$B$6+IF(A30=$B$5*$B$6,100,0),0)</f>
        <v>0</v>
      </c>
      <c r="D30" s="13" t="n">
        <f aca="false">IF(C30=0,0,1/(1+$B$7/$B$6)^A30)</f>
        <v>0</v>
      </c>
      <c r="E30" s="12" t="n">
        <f aca="false">C30*D30</f>
        <v>0</v>
      </c>
      <c r="F30" s="12" t="n">
        <f aca="false">IF(C30=0,0,C30*A30*(A30+1)/(1+$B$7/$B$6)^(A30+2))</f>
        <v>0</v>
      </c>
      <c r="G30" s="12" t="n">
        <f aca="false">IF(C30=0,0,C30/(1+($B$7+$B$9/10000)/$B$6)^A30)</f>
        <v>0</v>
      </c>
    </row>
    <row r="31" customFormat="false" ht="15" hidden="false" customHeight="false" outlineLevel="0" collapsed="false">
      <c r="A31" s="3" t="n">
        <v>17</v>
      </c>
      <c r="B31" s="12" t="n">
        <f aca="false">IF(A31&lt;=$B$5*$B$6,A31/$B$6,0)</f>
        <v>0</v>
      </c>
      <c r="C31" s="12" t="n">
        <f aca="false">IF(A31&lt;=$B$5*$B$6,$B$4*100/$B$6+IF(A31=$B$5*$B$6,100,0),0)</f>
        <v>0</v>
      </c>
      <c r="D31" s="13" t="n">
        <f aca="false">IF(C31=0,0,1/(1+$B$7/$B$6)^A31)</f>
        <v>0</v>
      </c>
      <c r="E31" s="12" t="n">
        <f aca="false">C31*D31</f>
        <v>0</v>
      </c>
      <c r="F31" s="12" t="n">
        <f aca="false">IF(C31=0,0,C31*A31*(A31+1)/(1+$B$7/$B$6)^(A31+2))</f>
        <v>0</v>
      </c>
      <c r="G31" s="12" t="n">
        <f aca="false">IF(C31=0,0,C31/(1+($B$7+$B$9/10000)/$B$6)^A31)</f>
        <v>0</v>
      </c>
    </row>
    <row r="32" customFormat="false" ht="15" hidden="false" customHeight="false" outlineLevel="0" collapsed="false">
      <c r="A32" s="3" t="n">
        <v>18</v>
      </c>
      <c r="B32" s="12" t="n">
        <f aca="false">IF(A32&lt;=$B$5*$B$6,A32/$B$6,0)</f>
        <v>0</v>
      </c>
      <c r="C32" s="12" t="n">
        <f aca="false">IF(A32&lt;=$B$5*$B$6,$B$4*100/$B$6+IF(A32=$B$5*$B$6,100,0),0)</f>
        <v>0</v>
      </c>
      <c r="D32" s="13" t="n">
        <f aca="false">IF(C32=0,0,1/(1+$B$7/$B$6)^A32)</f>
        <v>0</v>
      </c>
      <c r="E32" s="12" t="n">
        <f aca="false">C32*D32</f>
        <v>0</v>
      </c>
      <c r="F32" s="12" t="n">
        <f aca="false">IF(C32=0,0,C32*A32*(A32+1)/(1+$B$7/$B$6)^(A32+2))</f>
        <v>0</v>
      </c>
      <c r="G32" s="12" t="n">
        <f aca="false">IF(C32=0,0,C32/(1+($B$7+$B$9/10000)/$B$6)^A32)</f>
        <v>0</v>
      </c>
    </row>
    <row r="33" customFormat="false" ht="15" hidden="false" customHeight="false" outlineLevel="0" collapsed="false">
      <c r="A33" s="3" t="n">
        <v>19</v>
      </c>
      <c r="B33" s="12" t="n">
        <f aca="false">IF(A33&lt;=$B$5*$B$6,A33/$B$6,0)</f>
        <v>0</v>
      </c>
      <c r="C33" s="12" t="n">
        <f aca="false">IF(A33&lt;=$B$5*$B$6,$B$4*100/$B$6+IF(A33=$B$5*$B$6,100,0),0)</f>
        <v>0</v>
      </c>
      <c r="D33" s="13" t="n">
        <f aca="false">IF(C33=0,0,1/(1+$B$7/$B$6)^A33)</f>
        <v>0</v>
      </c>
      <c r="E33" s="12" t="n">
        <f aca="false">C33*D33</f>
        <v>0</v>
      </c>
      <c r="F33" s="12" t="n">
        <f aca="false">IF(C33=0,0,C33*A33*(A33+1)/(1+$B$7/$B$6)^(A33+2))</f>
        <v>0</v>
      </c>
      <c r="G33" s="12" t="n">
        <f aca="false">IF(C33=0,0,C33/(1+($B$7+$B$9/10000)/$B$6)^A33)</f>
        <v>0</v>
      </c>
    </row>
    <row r="34" customFormat="false" ht="15" hidden="false" customHeight="false" outlineLevel="0" collapsed="false">
      <c r="A34" s="3" t="n">
        <v>20</v>
      </c>
      <c r="B34" s="12" t="n">
        <f aca="false">IF(A34&lt;=$B$5*$B$6,A34/$B$6,0)</f>
        <v>0</v>
      </c>
      <c r="C34" s="12" t="n">
        <f aca="false">IF(A34&lt;=$B$5*$B$6,$B$4*100/$B$6+IF(A34=$B$5*$B$6,100,0),0)</f>
        <v>0</v>
      </c>
      <c r="D34" s="13" t="n">
        <f aca="false">IF(C34=0,0,1/(1+$B$7/$B$6)^A34)</f>
        <v>0</v>
      </c>
      <c r="E34" s="12" t="n">
        <f aca="false">C34*D34</f>
        <v>0</v>
      </c>
      <c r="F34" s="12" t="n">
        <f aca="false">IF(C34=0,0,C34*A34*(A34+1)/(1+$B$7/$B$6)^(A34+2))</f>
        <v>0</v>
      </c>
      <c r="G34" s="12" t="n">
        <f aca="false">IF(C34=0,0,C34/(1+($B$7+$B$9/10000)/$B$6)^A34)</f>
        <v>0</v>
      </c>
    </row>
    <row r="35" customFormat="false" ht="15" hidden="false" customHeight="false" outlineLevel="0" collapsed="false">
      <c r="A35" s="3" t="n">
        <v>21</v>
      </c>
      <c r="B35" s="12" t="n">
        <f aca="false">IF(A35&lt;=$B$5*$B$6,A35/$B$6,0)</f>
        <v>0</v>
      </c>
      <c r="C35" s="12" t="n">
        <f aca="false">IF(A35&lt;=$B$5*$B$6,$B$4*100/$B$6+IF(A35=$B$5*$B$6,100,0),0)</f>
        <v>0</v>
      </c>
      <c r="D35" s="13" t="n">
        <f aca="false">IF(C35=0,0,1/(1+$B$7/$B$6)^A35)</f>
        <v>0</v>
      </c>
      <c r="E35" s="12" t="n">
        <f aca="false">C35*D35</f>
        <v>0</v>
      </c>
      <c r="F35" s="12" t="n">
        <f aca="false">IF(C35=0,0,C35*A35*(A35+1)/(1+$B$7/$B$6)^(A35+2))</f>
        <v>0</v>
      </c>
      <c r="G35" s="12" t="n">
        <f aca="false">IF(C35=0,0,C35/(1+($B$7+$B$9/10000)/$B$6)^A35)</f>
        <v>0</v>
      </c>
    </row>
    <row r="36" customFormat="false" ht="15" hidden="false" customHeight="false" outlineLevel="0" collapsed="false">
      <c r="A36" s="3" t="n">
        <v>22</v>
      </c>
      <c r="B36" s="12" t="n">
        <f aca="false">IF(A36&lt;=$B$5*$B$6,A36/$B$6,0)</f>
        <v>0</v>
      </c>
      <c r="C36" s="12" t="n">
        <f aca="false">IF(A36&lt;=$B$5*$B$6,$B$4*100/$B$6+IF(A36=$B$5*$B$6,100,0),0)</f>
        <v>0</v>
      </c>
      <c r="D36" s="13" t="n">
        <f aca="false">IF(C36=0,0,1/(1+$B$7/$B$6)^A36)</f>
        <v>0</v>
      </c>
      <c r="E36" s="12" t="n">
        <f aca="false">C36*D36</f>
        <v>0</v>
      </c>
      <c r="F36" s="12" t="n">
        <f aca="false">IF(C36=0,0,C36*A36*(A36+1)/(1+$B$7/$B$6)^(A36+2))</f>
        <v>0</v>
      </c>
      <c r="G36" s="12" t="n">
        <f aca="false">IF(C36=0,0,C36/(1+($B$7+$B$9/10000)/$B$6)^A36)</f>
        <v>0</v>
      </c>
    </row>
    <row r="37" customFormat="false" ht="15" hidden="false" customHeight="false" outlineLevel="0" collapsed="false">
      <c r="A37" s="3" t="n">
        <v>23</v>
      </c>
      <c r="B37" s="12" t="n">
        <f aca="false">IF(A37&lt;=$B$5*$B$6,A37/$B$6,0)</f>
        <v>0</v>
      </c>
      <c r="C37" s="12" t="n">
        <f aca="false">IF(A37&lt;=$B$5*$B$6,$B$4*100/$B$6+IF(A37=$B$5*$B$6,100,0),0)</f>
        <v>0</v>
      </c>
      <c r="D37" s="13" t="n">
        <f aca="false">IF(C37=0,0,1/(1+$B$7/$B$6)^A37)</f>
        <v>0</v>
      </c>
      <c r="E37" s="12" t="n">
        <f aca="false">C37*D37</f>
        <v>0</v>
      </c>
      <c r="F37" s="12" t="n">
        <f aca="false">IF(C37=0,0,C37*A37*(A37+1)/(1+$B$7/$B$6)^(A37+2))</f>
        <v>0</v>
      </c>
      <c r="G37" s="12" t="n">
        <f aca="false">IF(C37=0,0,C37/(1+($B$7+$B$9/10000)/$B$6)^A37)</f>
        <v>0</v>
      </c>
    </row>
    <row r="38" customFormat="false" ht="15" hidden="false" customHeight="false" outlineLevel="0" collapsed="false">
      <c r="A38" s="3" t="n">
        <v>24</v>
      </c>
      <c r="B38" s="12" t="n">
        <f aca="false">IF(A38&lt;=$B$5*$B$6,A38/$B$6,0)</f>
        <v>0</v>
      </c>
      <c r="C38" s="12" t="n">
        <f aca="false">IF(A38&lt;=$B$5*$B$6,$B$4*100/$B$6+IF(A38=$B$5*$B$6,100,0),0)</f>
        <v>0</v>
      </c>
      <c r="D38" s="13" t="n">
        <f aca="false">IF(C38=0,0,1/(1+$B$7/$B$6)^A38)</f>
        <v>0</v>
      </c>
      <c r="E38" s="12" t="n">
        <f aca="false">C38*D38</f>
        <v>0</v>
      </c>
      <c r="F38" s="12" t="n">
        <f aca="false">IF(C38=0,0,C38*A38*(A38+1)/(1+$B$7/$B$6)^(A38+2))</f>
        <v>0</v>
      </c>
      <c r="G38" s="12" t="n">
        <f aca="false">IF(C38=0,0,C38/(1+($B$7+$B$9/10000)/$B$6)^A38)</f>
        <v>0</v>
      </c>
    </row>
    <row r="39" customFormat="false" ht="15" hidden="false" customHeight="false" outlineLevel="0" collapsed="false">
      <c r="A39" s="3" t="n">
        <v>25</v>
      </c>
      <c r="B39" s="12" t="n">
        <f aca="false">IF(A39&lt;=$B$5*$B$6,A39/$B$6,0)</f>
        <v>0</v>
      </c>
      <c r="C39" s="12" t="n">
        <f aca="false">IF(A39&lt;=$B$5*$B$6,$B$4*100/$B$6+IF(A39=$B$5*$B$6,100,0),0)</f>
        <v>0</v>
      </c>
      <c r="D39" s="13" t="n">
        <f aca="false">IF(C39=0,0,1/(1+$B$7/$B$6)^A39)</f>
        <v>0</v>
      </c>
      <c r="E39" s="12" t="n">
        <f aca="false">C39*D39</f>
        <v>0</v>
      </c>
      <c r="F39" s="12" t="n">
        <f aca="false">IF(C39=0,0,C39*A39*(A39+1)/(1+$B$7/$B$6)^(A39+2))</f>
        <v>0</v>
      </c>
      <c r="G39" s="12" t="n">
        <f aca="false">IF(C39=0,0,C39/(1+($B$7+$B$9/10000)/$B$6)^A39)</f>
        <v>0</v>
      </c>
    </row>
    <row r="40" customFormat="false" ht="15" hidden="false" customHeight="false" outlineLevel="0" collapsed="false">
      <c r="A40" s="3" t="n">
        <v>26</v>
      </c>
      <c r="B40" s="12" t="n">
        <f aca="false">IF(A40&lt;=$B$5*$B$6,A40/$B$6,0)</f>
        <v>0</v>
      </c>
      <c r="C40" s="12" t="n">
        <f aca="false">IF(A40&lt;=$B$5*$B$6,$B$4*100/$B$6+IF(A40=$B$5*$B$6,100,0),0)</f>
        <v>0</v>
      </c>
      <c r="D40" s="13" t="n">
        <f aca="false">IF(C40=0,0,1/(1+$B$7/$B$6)^A40)</f>
        <v>0</v>
      </c>
      <c r="E40" s="12" t="n">
        <f aca="false">C40*D40</f>
        <v>0</v>
      </c>
      <c r="F40" s="12" t="n">
        <f aca="false">IF(C40=0,0,C40*A40*(A40+1)/(1+$B$7/$B$6)^(A40+2))</f>
        <v>0</v>
      </c>
      <c r="G40" s="12" t="n">
        <f aca="false">IF(C40=0,0,C40/(1+($B$7+$B$9/10000)/$B$6)^A40)</f>
        <v>0</v>
      </c>
    </row>
    <row r="41" customFormat="false" ht="15" hidden="false" customHeight="false" outlineLevel="0" collapsed="false">
      <c r="A41" s="3" t="n">
        <v>27</v>
      </c>
      <c r="B41" s="12" t="n">
        <f aca="false">IF(A41&lt;=$B$5*$B$6,A41/$B$6,0)</f>
        <v>0</v>
      </c>
      <c r="C41" s="12" t="n">
        <f aca="false">IF(A41&lt;=$B$5*$B$6,$B$4*100/$B$6+IF(A41=$B$5*$B$6,100,0),0)</f>
        <v>0</v>
      </c>
      <c r="D41" s="13" t="n">
        <f aca="false">IF(C41=0,0,1/(1+$B$7/$B$6)^A41)</f>
        <v>0</v>
      </c>
      <c r="E41" s="12" t="n">
        <f aca="false">C41*D41</f>
        <v>0</v>
      </c>
      <c r="F41" s="12" t="n">
        <f aca="false">IF(C41=0,0,C41*A41*(A41+1)/(1+$B$7/$B$6)^(A41+2))</f>
        <v>0</v>
      </c>
      <c r="G41" s="12" t="n">
        <f aca="false">IF(C41=0,0,C41/(1+($B$7+$B$9/10000)/$B$6)^A41)</f>
        <v>0</v>
      </c>
    </row>
    <row r="42" customFormat="false" ht="15" hidden="false" customHeight="false" outlineLevel="0" collapsed="false">
      <c r="A42" s="3" t="n">
        <v>28</v>
      </c>
      <c r="B42" s="12" t="n">
        <f aca="false">IF(A42&lt;=$B$5*$B$6,A42/$B$6,0)</f>
        <v>0</v>
      </c>
      <c r="C42" s="12" t="n">
        <f aca="false">IF(A42&lt;=$B$5*$B$6,$B$4*100/$B$6+IF(A42=$B$5*$B$6,100,0),0)</f>
        <v>0</v>
      </c>
      <c r="D42" s="13" t="n">
        <f aca="false">IF(C42=0,0,1/(1+$B$7/$B$6)^A42)</f>
        <v>0</v>
      </c>
      <c r="E42" s="12" t="n">
        <f aca="false">C42*D42</f>
        <v>0</v>
      </c>
      <c r="F42" s="12" t="n">
        <f aca="false">IF(C42=0,0,C42*A42*(A42+1)/(1+$B$7/$B$6)^(A42+2))</f>
        <v>0</v>
      </c>
      <c r="G42" s="12" t="n">
        <f aca="false">IF(C42=0,0,C42/(1+($B$7+$B$9/10000)/$B$6)^A42)</f>
        <v>0</v>
      </c>
    </row>
    <row r="43" customFormat="false" ht="15" hidden="false" customHeight="false" outlineLevel="0" collapsed="false">
      <c r="A43" s="3" t="n">
        <v>29</v>
      </c>
      <c r="B43" s="12" t="n">
        <f aca="false">IF(A43&lt;=$B$5*$B$6,A43/$B$6,0)</f>
        <v>0</v>
      </c>
      <c r="C43" s="12" t="n">
        <f aca="false">IF(A43&lt;=$B$5*$B$6,$B$4*100/$B$6+IF(A43=$B$5*$B$6,100,0),0)</f>
        <v>0</v>
      </c>
      <c r="D43" s="13" t="n">
        <f aca="false">IF(C43=0,0,1/(1+$B$7/$B$6)^A43)</f>
        <v>0</v>
      </c>
      <c r="E43" s="12" t="n">
        <f aca="false">C43*D43</f>
        <v>0</v>
      </c>
      <c r="F43" s="12" t="n">
        <f aca="false">IF(C43=0,0,C43*A43*(A43+1)/(1+$B$7/$B$6)^(A43+2))</f>
        <v>0</v>
      </c>
      <c r="G43" s="12" t="n">
        <f aca="false">IF(C43=0,0,C43/(1+($B$7+$B$9/10000)/$B$6)^A43)</f>
        <v>0</v>
      </c>
    </row>
    <row r="44" customFormat="false" ht="15" hidden="false" customHeight="false" outlineLevel="0" collapsed="false">
      <c r="A44" s="3" t="n">
        <v>30</v>
      </c>
      <c r="B44" s="12" t="n">
        <f aca="false">IF(A44&lt;=$B$5*$B$6,A44/$B$6,0)</f>
        <v>0</v>
      </c>
      <c r="C44" s="12" t="n">
        <f aca="false">IF(A44&lt;=$B$5*$B$6,$B$4*100/$B$6+IF(A44=$B$5*$B$6,100,0),0)</f>
        <v>0</v>
      </c>
      <c r="D44" s="13" t="n">
        <f aca="false">IF(C44=0,0,1/(1+$B$7/$B$6)^A44)</f>
        <v>0</v>
      </c>
      <c r="E44" s="12" t="n">
        <f aca="false">C44*D44</f>
        <v>0</v>
      </c>
      <c r="F44" s="12" t="n">
        <f aca="false">IF(C44=0,0,C44*A44*(A44+1)/(1+$B$7/$B$6)^(A44+2))</f>
        <v>0</v>
      </c>
      <c r="G44" s="12" t="n">
        <f aca="false">IF(C44=0,0,C44/(1+($B$7+$B$9/10000)/$B$6)^A44)</f>
        <v>0</v>
      </c>
    </row>
    <row r="45" customFormat="false" ht="15" hidden="false" customHeight="false" outlineLevel="0" collapsed="false">
      <c r="A45" s="3" t="n">
        <v>31</v>
      </c>
      <c r="B45" s="12" t="n">
        <f aca="false">IF(A45&lt;=$B$5*$B$6,A45/$B$6,0)</f>
        <v>0</v>
      </c>
      <c r="C45" s="12" t="n">
        <f aca="false">IF(A45&lt;=$B$5*$B$6,$B$4*100/$B$6+IF(A45=$B$5*$B$6,100,0),0)</f>
        <v>0</v>
      </c>
      <c r="D45" s="13" t="n">
        <f aca="false">IF(C45=0,0,1/(1+$B$7/$B$6)^A45)</f>
        <v>0</v>
      </c>
      <c r="E45" s="12" t="n">
        <f aca="false">C45*D45</f>
        <v>0</v>
      </c>
      <c r="F45" s="12" t="n">
        <f aca="false">IF(C45=0,0,C45*A45*(A45+1)/(1+$B$7/$B$6)^(A45+2))</f>
        <v>0</v>
      </c>
      <c r="G45" s="12" t="n">
        <f aca="false">IF(C45=0,0,C45/(1+($B$7+$B$9/10000)/$B$6)^A45)</f>
        <v>0</v>
      </c>
    </row>
    <row r="46" customFormat="false" ht="15" hidden="false" customHeight="false" outlineLevel="0" collapsed="false">
      <c r="A46" s="3" t="n">
        <v>32</v>
      </c>
      <c r="B46" s="12" t="n">
        <f aca="false">IF(A46&lt;=$B$5*$B$6,A46/$B$6,0)</f>
        <v>0</v>
      </c>
      <c r="C46" s="12" t="n">
        <f aca="false">IF(A46&lt;=$B$5*$B$6,$B$4*100/$B$6+IF(A46=$B$5*$B$6,100,0),0)</f>
        <v>0</v>
      </c>
      <c r="D46" s="13" t="n">
        <f aca="false">IF(C46=0,0,1/(1+$B$7/$B$6)^A46)</f>
        <v>0</v>
      </c>
      <c r="E46" s="12" t="n">
        <f aca="false">C46*D46</f>
        <v>0</v>
      </c>
      <c r="F46" s="12" t="n">
        <f aca="false">IF(C46=0,0,C46*A46*(A46+1)/(1+$B$7/$B$6)^(A46+2))</f>
        <v>0</v>
      </c>
      <c r="G46" s="12" t="n">
        <f aca="false">IF(C46=0,0,C46/(1+($B$7+$B$9/10000)/$B$6)^A46)</f>
        <v>0</v>
      </c>
    </row>
    <row r="47" customFormat="false" ht="15" hidden="false" customHeight="false" outlineLevel="0" collapsed="false">
      <c r="A47" s="3" t="n">
        <v>33</v>
      </c>
      <c r="B47" s="12" t="n">
        <f aca="false">IF(A47&lt;=$B$5*$B$6,A47/$B$6,0)</f>
        <v>0</v>
      </c>
      <c r="C47" s="12" t="n">
        <f aca="false">IF(A47&lt;=$B$5*$B$6,$B$4*100/$B$6+IF(A47=$B$5*$B$6,100,0),0)</f>
        <v>0</v>
      </c>
      <c r="D47" s="13" t="n">
        <f aca="false">IF(C47=0,0,1/(1+$B$7/$B$6)^A47)</f>
        <v>0</v>
      </c>
      <c r="E47" s="12" t="n">
        <f aca="false">C47*D47</f>
        <v>0</v>
      </c>
      <c r="F47" s="12" t="n">
        <f aca="false">IF(C47=0,0,C47*A47*(A47+1)/(1+$B$7/$B$6)^(A47+2))</f>
        <v>0</v>
      </c>
      <c r="G47" s="12" t="n">
        <f aca="false">IF(C47=0,0,C47/(1+($B$7+$B$9/10000)/$B$6)^A47)</f>
        <v>0</v>
      </c>
    </row>
    <row r="48" customFormat="false" ht="15" hidden="false" customHeight="false" outlineLevel="0" collapsed="false">
      <c r="A48" s="3" t="n">
        <v>34</v>
      </c>
      <c r="B48" s="12" t="n">
        <f aca="false">IF(A48&lt;=$B$5*$B$6,A48/$B$6,0)</f>
        <v>0</v>
      </c>
      <c r="C48" s="12" t="n">
        <f aca="false">IF(A48&lt;=$B$5*$B$6,$B$4*100/$B$6+IF(A48=$B$5*$B$6,100,0),0)</f>
        <v>0</v>
      </c>
      <c r="D48" s="13" t="n">
        <f aca="false">IF(C48=0,0,1/(1+$B$7/$B$6)^A48)</f>
        <v>0</v>
      </c>
      <c r="E48" s="12" t="n">
        <f aca="false">C48*D48</f>
        <v>0</v>
      </c>
      <c r="F48" s="12" t="n">
        <f aca="false">IF(C48=0,0,C48*A48*(A48+1)/(1+$B$7/$B$6)^(A48+2))</f>
        <v>0</v>
      </c>
      <c r="G48" s="12" t="n">
        <f aca="false">IF(C48=0,0,C48/(1+($B$7+$B$9/10000)/$B$6)^A48)</f>
        <v>0</v>
      </c>
    </row>
    <row r="49" customFormat="false" ht="15" hidden="false" customHeight="false" outlineLevel="0" collapsed="false">
      <c r="A49" s="3" t="n">
        <v>35</v>
      </c>
      <c r="B49" s="12" t="n">
        <f aca="false">IF(A49&lt;=$B$5*$B$6,A49/$B$6,0)</f>
        <v>0</v>
      </c>
      <c r="C49" s="12" t="n">
        <f aca="false">IF(A49&lt;=$B$5*$B$6,$B$4*100/$B$6+IF(A49=$B$5*$B$6,100,0),0)</f>
        <v>0</v>
      </c>
      <c r="D49" s="13" t="n">
        <f aca="false">IF(C49=0,0,1/(1+$B$7/$B$6)^A49)</f>
        <v>0</v>
      </c>
      <c r="E49" s="12" t="n">
        <f aca="false">C49*D49</f>
        <v>0</v>
      </c>
      <c r="F49" s="12" t="n">
        <f aca="false">IF(C49=0,0,C49*A49*(A49+1)/(1+$B$7/$B$6)^(A49+2))</f>
        <v>0</v>
      </c>
      <c r="G49" s="12" t="n">
        <f aca="false">IF(C49=0,0,C49/(1+($B$7+$B$9/10000)/$B$6)^A49)</f>
        <v>0</v>
      </c>
    </row>
    <row r="50" customFormat="false" ht="15" hidden="false" customHeight="false" outlineLevel="0" collapsed="false">
      <c r="A50" s="3" t="n">
        <v>36</v>
      </c>
      <c r="B50" s="12" t="n">
        <f aca="false">IF(A50&lt;=$B$5*$B$6,A50/$B$6,0)</f>
        <v>0</v>
      </c>
      <c r="C50" s="12" t="n">
        <f aca="false">IF(A50&lt;=$B$5*$B$6,$B$4*100/$B$6+IF(A50=$B$5*$B$6,100,0),0)</f>
        <v>0</v>
      </c>
      <c r="D50" s="13" t="n">
        <f aca="false">IF(C50=0,0,1/(1+$B$7/$B$6)^A50)</f>
        <v>0</v>
      </c>
      <c r="E50" s="12" t="n">
        <f aca="false">C50*D50</f>
        <v>0</v>
      </c>
      <c r="F50" s="12" t="n">
        <f aca="false">IF(C50=0,0,C50*A50*(A50+1)/(1+$B$7/$B$6)^(A50+2))</f>
        <v>0</v>
      </c>
      <c r="G50" s="12" t="n">
        <f aca="false">IF(C50=0,0,C50/(1+($B$7+$B$9/10000)/$B$6)^A50)</f>
        <v>0</v>
      </c>
    </row>
    <row r="51" customFormat="false" ht="15" hidden="false" customHeight="false" outlineLevel="0" collapsed="false">
      <c r="A51" s="3" t="n">
        <v>37</v>
      </c>
      <c r="B51" s="12" t="n">
        <f aca="false">IF(A51&lt;=$B$5*$B$6,A51/$B$6,0)</f>
        <v>0</v>
      </c>
      <c r="C51" s="12" t="n">
        <f aca="false">IF(A51&lt;=$B$5*$B$6,$B$4*100/$B$6+IF(A51=$B$5*$B$6,100,0),0)</f>
        <v>0</v>
      </c>
      <c r="D51" s="13" t="n">
        <f aca="false">IF(C51=0,0,1/(1+$B$7/$B$6)^A51)</f>
        <v>0</v>
      </c>
      <c r="E51" s="12" t="n">
        <f aca="false">C51*D51</f>
        <v>0</v>
      </c>
      <c r="F51" s="12" t="n">
        <f aca="false">IF(C51=0,0,C51*A51*(A51+1)/(1+$B$7/$B$6)^(A51+2))</f>
        <v>0</v>
      </c>
      <c r="G51" s="12" t="n">
        <f aca="false">IF(C51=0,0,C51/(1+($B$7+$B$9/10000)/$B$6)^A51)</f>
        <v>0</v>
      </c>
    </row>
    <row r="52" customFormat="false" ht="15" hidden="false" customHeight="false" outlineLevel="0" collapsed="false">
      <c r="A52" s="3" t="n">
        <v>38</v>
      </c>
      <c r="B52" s="12" t="n">
        <f aca="false">IF(A52&lt;=$B$5*$B$6,A52/$B$6,0)</f>
        <v>0</v>
      </c>
      <c r="C52" s="12" t="n">
        <f aca="false">IF(A52&lt;=$B$5*$B$6,$B$4*100/$B$6+IF(A52=$B$5*$B$6,100,0),0)</f>
        <v>0</v>
      </c>
      <c r="D52" s="13" t="n">
        <f aca="false">IF(C52=0,0,1/(1+$B$7/$B$6)^A52)</f>
        <v>0</v>
      </c>
      <c r="E52" s="12" t="n">
        <f aca="false">C52*D52</f>
        <v>0</v>
      </c>
      <c r="F52" s="12" t="n">
        <f aca="false">IF(C52=0,0,C52*A52*(A52+1)/(1+$B$7/$B$6)^(A52+2))</f>
        <v>0</v>
      </c>
      <c r="G52" s="12" t="n">
        <f aca="false">IF(C52=0,0,C52/(1+($B$7+$B$9/10000)/$B$6)^A52)</f>
        <v>0</v>
      </c>
    </row>
    <row r="53" customFormat="false" ht="15" hidden="false" customHeight="false" outlineLevel="0" collapsed="false">
      <c r="A53" s="3" t="n">
        <v>39</v>
      </c>
      <c r="B53" s="12" t="n">
        <f aca="false">IF(A53&lt;=$B$5*$B$6,A53/$B$6,0)</f>
        <v>0</v>
      </c>
      <c r="C53" s="12" t="n">
        <f aca="false">IF(A53&lt;=$B$5*$B$6,$B$4*100/$B$6+IF(A53=$B$5*$B$6,100,0),0)</f>
        <v>0</v>
      </c>
      <c r="D53" s="13" t="n">
        <f aca="false">IF(C53=0,0,1/(1+$B$7/$B$6)^A53)</f>
        <v>0</v>
      </c>
      <c r="E53" s="12" t="n">
        <f aca="false">C53*D53</f>
        <v>0</v>
      </c>
      <c r="F53" s="12" t="n">
        <f aca="false">IF(C53=0,0,C53*A53*(A53+1)/(1+$B$7/$B$6)^(A53+2))</f>
        <v>0</v>
      </c>
      <c r="G53" s="12" t="n">
        <f aca="false">IF(C53=0,0,C53/(1+($B$7+$B$9/10000)/$B$6)^A53)</f>
        <v>0</v>
      </c>
    </row>
    <row r="54" customFormat="false" ht="15" hidden="false" customHeight="false" outlineLevel="0" collapsed="false">
      <c r="A54" s="3" t="n">
        <v>40</v>
      </c>
      <c r="B54" s="12" t="n">
        <f aca="false">IF(A54&lt;=$B$5*$B$6,A54/$B$6,0)</f>
        <v>0</v>
      </c>
      <c r="C54" s="12" t="n">
        <f aca="false">IF(A54&lt;=$B$5*$B$6,$B$4*100/$B$6+IF(A54=$B$5*$B$6,100,0),0)</f>
        <v>0</v>
      </c>
      <c r="D54" s="13" t="n">
        <f aca="false">IF(C54=0,0,1/(1+$B$7/$B$6)^A54)</f>
        <v>0</v>
      </c>
      <c r="E54" s="12" t="n">
        <f aca="false">C54*D54</f>
        <v>0</v>
      </c>
      <c r="F54" s="12" t="n">
        <f aca="false">IF(C54=0,0,C54*A54*(A54+1)/(1+$B$7/$B$6)^(A54+2))</f>
        <v>0</v>
      </c>
      <c r="G54" s="12" t="n">
        <f aca="false">IF(C54=0,0,C54/(1+($B$7+$B$9/10000)/$B$6)^A54)</f>
        <v>0</v>
      </c>
    </row>
    <row r="55" customFormat="false" ht="15" hidden="false" customHeight="false" outlineLevel="0" collapsed="false">
      <c r="A55" s="3" t="n">
        <v>41</v>
      </c>
      <c r="B55" s="12" t="n">
        <f aca="false">IF(A55&lt;=$B$5*$B$6,A55/$B$6,0)</f>
        <v>0</v>
      </c>
      <c r="C55" s="12" t="n">
        <f aca="false">IF(A55&lt;=$B$5*$B$6,$B$4*100/$B$6+IF(A55=$B$5*$B$6,100,0),0)</f>
        <v>0</v>
      </c>
      <c r="D55" s="13" t="n">
        <f aca="false">IF(C55=0,0,1/(1+$B$7/$B$6)^A55)</f>
        <v>0</v>
      </c>
      <c r="E55" s="12" t="n">
        <f aca="false">C55*D55</f>
        <v>0</v>
      </c>
      <c r="F55" s="12" t="n">
        <f aca="false">IF(C55=0,0,C55*A55*(A55+1)/(1+$B$7/$B$6)^(A55+2))</f>
        <v>0</v>
      </c>
      <c r="G55" s="12" t="n">
        <f aca="false">IF(C55=0,0,C55/(1+($B$7+$B$9/10000)/$B$6)^A55)</f>
        <v>0</v>
      </c>
    </row>
    <row r="56" customFormat="false" ht="15" hidden="false" customHeight="false" outlineLevel="0" collapsed="false">
      <c r="A56" s="3" t="n">
        <v>42</v>
      </c>
      <c r="B56" s="12" t="n">
        <f aca="false">IF(A56&lt;=$B$5*$B$6,A56/$B$6,0)</f>
        <v>0</v>
      </c>
      <c r="C56" s="12" t="n">
        <f aca="false">IF(A56&lt;=$B$5*$B$6,$B$4*100/$B$6+IF(A56=$B$5*$B$6,100,0),0)</f>
        <v>0</v>
      </c>
      <c r="D56" s="13" t="n">
        <f aca="false">IF(C56=0,0,1/(1+$B$7/$B$6)^A56)</f>
        <v>0</v>
      </c>
      <c r="E56" s="12" t="n">
        <f aca="false">C56*D56</f>
        <v>0</v>
      </c>
      <c r="F56" s="12" t="n">
        <f aca="false">IF(C56=0,0,C56*A56*(A56+1)/(1+$B$7/$B$6)^(A56+2))</f>
        <v>0</v>
      </c>
      <c r="G56" s="12" t="n">
        <f aca="false">IF(C56=0,0,C56/(1+($B$7+$B$9/10000)/$B$6)^A56)</f>
        <v>0</v>
      </c>
    </row>
    <row r="57" customFormat="false" ht="15" hidden="false" customHeight="false" outlineLevel="0" collapsed="false">
      <c r="A57" s="3" t="n">
        <v>43</v>
      </c>
      <c r="B57" s="12" t="n">
        <f aca="false">IF(A57&lt;=$B$5*$B$6,A57/$B$6,0)</f>
        <v>0</v>
      </c>
      <c r="C57" s="12" t="n">
        <f aca="false">IF(A57&lt;=$B$5*$B$6,$B$4*100/$B$6+IF(A57=$B$5*$B$6,100,0),0)</f>
        <v>0</v>
      </c>
      <c r="D57" s="13" t="n">
        <f aca="false">IF(C57=0,0,1/(1+$B$7/$B$6)^A57)</f>
        <v>0</v>
      </c>
      <c r="E57" s="12" t="n">
        <f aca="false">C57*D57</f>
        <v>0</v>
      </c>
      <c r="F57" s="12" t="n">
        <f aca="false">IF(C57=0,0,C57*A57*(A57+1)/(1+$B$7/$B$6)^(A57+2))</f>
        <v>0</v>
      </c>
      <c r="G57" s="12" t="n">
        <f aca="false">IF(C57=0,0,C57/(1+($B$7+$B$9/10000)/$B$6)^A57)</f>
        <v>0</v>
      </c>
    </row>
    <row r="58" customFormat="false" ht="15" hidden="false" customHeight="false" outlineLevel="0" collapsed="false">
      <c r="A58" s="3" t="n">
        <v>44</v>
      </c>
      <c r="B58" s="12" t="n">
        <f aca="false">IF(A58&lt;=$B$5*$B$6,A58/$B$6,0)</f>
        <v>0</v>
      </c>
      <c r="C58" s="12" t="n">
        <f aca="false">IF(A58&lt;=$B$5*$B$6,$B$4*100/$B$6+IF(A58=$B$5*$B$6,100,0),0)</f>
        <v>0</v>
      </c>
      <c r="D58" s="13" t="n">
        <f aca="false">IF(C58=0,0,1/(1+$B$7/$B$6)^A58)</f>
        <v>0</v>
      </c>
      <c r="E58" s="12" t="n">
        <f aca="false">C58*D58</f>
        <v>0</v>
      </c>
      <c r="F58" s="12" t="n">
        <f aca="false">IF(C58=0,0,C58*A58*(A58+1)/(1+$B$7/$B$6)^(A58+2))</f>
        <v>0</v>
      </c>
      <c r="G58" s="12" t="n">
        <f aca="false">IF(C58=0,0,C58/(1+($B$7+$B$9/10000)/$B$6)^A58)</f>
        <v>0</v>
      </c>
    </row>
    <row r="59" customFormat="false" ht="15" hidden="false" customHeight="false" outlineLevel="0" collapsed="false">
      <c r="A59" s="3" t="n">
        <v>45</v>
      </c>
      <c r="B59" s="12" t="n">
        <f aca="false">IF(A59&lt;=$B$5*$B$6,A59/$B$6,0)</f>
        <v>0</v>
      </c>
      <c r="C59" s="12" t="n">
        <f aca="false">IF(A59&lt;=$B$5*$B$6,$B$4*100/$B$6+IF(A59=$B$5*$B$6,100,0),0)</f>
        <v>0</v>
      </c>
      <c r="D59" s="13" t="n">
        <f aca="false">IF(C59=0,0,1/(1+$B$7/$B$6)^A59)</f>
        <v>0</v>
      </c>
      <c r="E59" s="12" t="n">
        <f aca="false">C59*D59</f>
        <v>0</v>
      </c>
      <c r="F59" s="12" t="n">
        <f aca="false">IF(C59=0,0,C59*A59*(A59+1)/(1+$B$7/$B$6)^(A59+2))</f>
        <v>0</v>
      </c>
      <c r="G59" s="12" t="n">
        <f aca="false">IF(C59=0,0,C59/(1+($B$7+$B$9/10000)/$B$6)^A59)</f>
        <v>0</v>
      </c>
    </row>
    <row r="60" customFormat="false" ht="15" hidden="false" customHeight="false" outlineLevel="0" collapsed="false">
      <c r="A60" s="3" t="n">
        <v>46</v>
      </c>
      <c r="B60" s="12" t="n">
        <f aca="false">IF(A60&lt;=$B$5*$B$6,A60/$B$6,0)</f>
        <v>0</v>
      </c>
      <c r="C60" s="12" t="n">
        <f aca="false">IF(A60&lt;=$B$5*$B$6,$B$4*100/$B$6+IF(A60=$B$5*$B$6,100,0),0)</f>
        <v>0</v>
      </c>
      <c r="D60" s="13" t="n">
        <f aca="false">IF(C60=0,0,1/(1+$B$7/$B$6)^A60)</f>
        <v>0</v>
      </c>
      <c r="E60" s="12" t="n">
        <f aca="false">C60*D60</f>
        <v>0</v>
      </c>
      <c r="F60" s="12" t="n">
        <f aca="false">IF(C60=0,0,C60*A60*(A60+1)/(1+$B$7/$B$6)^(A60+2))</f>
        <v>0</v>
      </c>
      <c r="G60" s="12" t="n">
        <f aca="false">IF(C60=0,0,C60/(1+($B$7+$B$9/10000)/$B$6)^A60)</f>
        <v>0</v>
      </c>
    </row>
    <row r="61" customFormat="false" ht="15" hidden="false" customHeight="false" outlineLevel="0" collapsed="false">
      <c r="A61" s="3" t="n">
        <v>47</v>
      </c>
      <c r="B61" s="12" t="n">
        <f aca="false">IF(A61&lt;=$B$5*$B$6,A61/$B$6,0)</f>
        <v>0</v>
      </c>
      <c r="C61" s="12" t="n">
        <f aca="false">IF(A61&lt;=$B$5*$B$6,$B$4*100/$B$6+IF(A61=$B$5*$B$6,100,0),0)</f>
        <v>0</v>
      </c>
      <c r="D61" s="13" t="n">
        <f aca="false">IF(C61=0,0,1/(1+$B$7/$B$6)^A61)</f>
        <v>0</v>
      </c>
      <c r="E61" s="12" t="n">
        <f aca="false">C61*D61</f>
        <v>0</v>
      </c>
      <c r="F61" s="12" t="n">
        <f aca="false">IF(C61=0,0,C61*A61*(A61+1)/(1+$B$7/$B$6)^(A61+2))</f>
        <v>0</v>
      </c>
      <c r="G61" s="12" t="n">
        <f aca="false">IF(C61=0,0,C61/(1+($B$7+$B$9/10000)/$B$6)^A61)</f>
        <v>0</v>
      </c>
    </row>
    <row r="62" customFormat="false" ht="15" hidden="false" customHeight="false" outlineLevel="0" collapsed="false">
      <c r="A62" s="3" t="n">
        <v>48</v>
      </c>
      <c r="B62" s="12" t="n">
        <f aca="false">IF(A62&lt;=$B$5*$B$6,A62/$B$6,0)</f>
        <v>0</v>
      </c>
      <c r="C62" s="12" t="n">
        <f aca="false">IF(A62&lt;=$B$5*$B$6,$B$4*100/$B$6+IF(A62=$B$5*$B$6,100,0),0)</f>
        <v>0</v>
      </c>
      <c r="D62" s="13" t="n">
        <f aca="false">IF(C62=0,0,1/(1+$B$7/$B$6)^A62)</f>
        <v>0</v>
      </c>
      <c r="E62" s="12" t="n">
        <f aca="false">C62*D62</f>
        <v>0</v>
      </c>
      <c r="F62" s="12" t="n">
        <f aca="false">IF(C62=0,0,C62*A62*(A62+1)/(1+$B$7/$B$6)^(A62+2))</f>
        <v>0</v>
      </c>
      <c r="G62" s="12" t="n">
        <f aca="false">IF(C62=0,0,C62/(1+($B$7+$B$9/10000)/$B$6)^A62)</f>
        <v>0</v>
      </c>
    </row>
    <row r="63" customFormat="false" ht="15" hidden="false" customHeight="false" outlineLevel="0" collapsed="false">
      <c r="A63" s="3" t="n">
        <v>49</v>
      </c>
      <c r="B63" s="12" t="n">
        <f aca="false">IF(A63&lt;=$B$5*$B$6,A63/$B$6,0)</f>
        <v>0</v>
      </c>
      <c r="C63" s="12" t="n">
        <f aca="false">IF(A63&lt;=$B$5*$B$6,$B$4*100/$B$6+IF(A63=$B$5*$B$6,100,0),0)</f>
        <v>0</v>
      </c>
      <c r="D63" s="13" t="n">
        <f aca="false">IF(C63=0,0,1/(1+$B$7/$B$6)^A63)</f>
        <v>0</v>
      </c>
      <c r="E63" s="12" t="n">
        <f aca="false">C63*D63</f>
        <v>0</v>
      </c>
      <c r="F63" s="12" t="n">
        <f aca="false">IF(C63=0,0,C63*A63*(A63+1)/(1+$B$7/$B$6)^(A63+2))</f>
        <v>0</v>
      </c>
      <c r="G63" s="12" t="n">
        <f aca="false">IF(C63=0,0,C63/(1+($B$7+$B$9/10000)/$B$6)^A63)</f>
        <v>0</v>
      </c>
    </row>
    <row r="64" customFormat="false" ht="15" hidden="false" customHeight="false" outlineLevel="0" collapsed="false">
      <c r="A64" s="3" t="n">
        <v>50</v>
      </c>
      <c r="B64" s="12" t="n">
        <f aca="false">IF(A64&lt;=$B$5*$B$6,A64/$B$6,0)</f>
        <v>0</v>
      </c>
      <c r="C64" s="12" t="n">
        <f aca="false">IF(A64&lt;=$B$5*$B$6,$B$4*100/$B$6+IF(A64=$B$5*$B$6,100,0),0)</f>
        <v>0</v>
      </c>
      <c r="D64" s="13" t="n">
        <f aca="false">IF(C64=0,0,1/(1+$B$7/$B$6)^A64)</f>
        <v>0</v>
      </c>
      <c r="E64" s="12" t="n">
        <f aca="false">C64*D64</f>
        <v>0</v>
      </c>
      <c r="F64" s="12" t="n">
        <f aca="false">IF(C64=0,0,C64*A64*(A64+1)/(1+$B$7/$B$6)^(A64+2))</f>
        <v>0</v>
      </c>
      <c r="G64" s="12" t="n">
        <f aca="false">IF(C64=0,0,C64/(1+($B$7+$B$9/10000)/$B$6)^A64)</f>
        <v>0</v>
      </c>
    </row>
    <row r="65" customFormat="false" ht="15" hidden="false" customHeight="false" outlineLevel="0" collapsed="false">
      <c r="A65" s="3" t="n">
        <v>51</v>
      </c>
      <c r="B65" s="12" t="n">
        <f aca="false">IF(A65&lt;=$B$5*$B$6,A65/$B$6,0)</f>
        <v>0</v>
      </c>
      <c r="C65" s="12" t="n">
        <f aca="false">IF(A65&lt;=$B$5*$B$6,$B$4*100/$B$6+IF(A65=$B$5*$B$6,100,0),0)</f>
        <v>0</v>
      </c>
      <c r="D65" s="13" t="n">
        <f aca="false">IF(C65=0,0,1/(1+$B$7/$B$6)^A65)</f>
        <v>0</v>
      </c>
      <c r="E65" s="12" t="n">
        <f aca="false">C65*D65</f>
        <v>0</v>
      </c>
      <c r="F65" s="12" t="n">
        <f aca="false">IF(C65=0,0,C65*A65*(A65+1)/(1+$B$7/$B$6)^(A65+2))</f>
        <v>0</v>
      </c>
      <c r="G65" s="12" t="n">
        <f aca="false">IF(C65=0,0,C65/(1+($B$7+$B$9/10000)/$B$6)^A65)</f>
        <v>0</v>
      </c>
    </row>
    <row r="66" customFormat="false" ht="15" hidden="false" customHeight="false" outlineLevel="0" collapsed="false">
      <c r="A66" s="3" t="n">
        <v>52</v>
      </c>
      <c r="B66" s="12" t="n">
        <f aca="false">IF(A66&lt;=$B$5*$B$6,A66/$B$6,0)</f>
        <v>0</v>
      </c>
      <c r="C66" s="12" t="n">
        <f aca="false">IF(A66&lt;=$B$5*$B$6,$B$4*100/$B$6+IF(A66=$B$5*$B$6,100,0),0)</f>
        <v>0</v>
      </c>
      <c r="D66" s="13" t="n">
        <f aca="false">IF(C66=0,0,1/(1+$B$7/$B$6)^A66)</f>
        <v>0</v>
      </c>
      <c r="E66" s="12" t="n">
        <f aca="false">C66*D66</f>
        <v>0</v>
      </c>
      <c r="F66" s="12" t="n">
        <f aca="false">IF(C66=0,0,C66*A66*(A66+1)/(1+$B$7/$B$6)^(A66+2))</f>
        <v>0</v>
      </c>
      <c r="G66" s="12" t="n">
        <f aca="false">IF(C66=0,0,C66/(1+($B$7+$B$9/10000)/$B$6)^A66)</f>
        <v>0</v>
      </c>
    </row>
    <row r="67" customFormat="false" ht="15" hidden="false" customHeight="false" outlineLevel="0" collapsed="false">
      <c r="A67" s="3" t="n">
        <v>53</v>
      </c>
      <c r="B67" s="12" t="n">
        <f aca="false">IF(A67&lt;=$B$5*$B$6,A67/$B$6,0)</f>
        <v>0</v>
      </c>
      <c r="C67" s="12" t="n">
        <f aca="false">IF(A67&lt;=$B$5*$B$6,$B$4*100/$B$6+IF(A67=$B$5*$B$6,100,0),0)</f>
        <v>0</v>
      </c>
      <c r="D67" s="13" t="n">
        <f aca="false">IF(C67=0,0,1/(1+$B$7/$B$6)^A67)</f>
        <v>0</v>
      </c>
      <c r="E67" s="12" t="n">
        <f aca="false">C67*D67</f>
        <v>0</v>
      </c>
      <c r="F67" s="12" t="n">
        <f aca="false">IF(C67=0,0,C67*A67*(A67+1)/(1+$B$7/$B$6)^(A67+2))</f>
        <v>0</v>
      </c>
      <c r="G67" s="12" t="n">
        <f aca="false">IF(C67=0,0,C67/(1+($B$7+$B$9/10000)/$B$6)^A67)</f>
        <v>0</v>
      </c>
    </row>
    <row r="68" customFormat="false" ht="15" hidden="false" customHeight="false" outlineLevel="0" collapsed="false">
      <c r="A68" s="3" t="n">
        <v>54</v>
      </c>
      <c r="B68" s="12" t="n">
        <f aca="false">IF(A68&lt;=$B$5*$B$6,A68/$B$6,0)</f>
        <v>0</v>
      </c>
      <c r="C68" s="12" t="n">
        <f aca="false">IF(A68&lt;=$B$5*$B$6,$B$4*100/$B$6+IF(A68=$B$5*$B$6,100,0),0)</f>
        <v>0</v>
      </c>
      <c r="D68" s="13" t="n">
        <f aca="false">IF(C68=0,0,1/(1+$B$7/$B$6)^A68)</f>
        <v>0</v>
      </c>
      <c r="E68" s="12" t="n">
        <f aca="false">C68*D68</f>
        <v>0</v>
      </c>
      <c r="F68" s="12" t="n">
        <f aca="false">IF(C68=0,0,C68*A68*(A68+1)/(1+$B$7/$B$6)^(A68+2))</f>
        <v>0</v>
      </c>
      <c r="G68" s="12" t="n">
        <f aca="false">IF(C68=0,0,C68/(1+($B$7+$B$9/10000)/$B$6)^A68)</f>
        <v>0</v>
      </c>
    </row>
    <row r="69" customFormat="false" ht="15" hidden="false" customHeight="false" outlineLevel="0" collapsed="false">
      <c r="A69" s="3" t="n">
        <v>55</v>
      </c>
      <c r="B69" s="12" t="n">
        <f aca="false">IF(A69&lt;=$B$5*$B$6,A69/$B$6,0)</f>
        <v>0</v>
      </c>
      <c r="C69" s="12" t="n">
        <f aca="false">IF(A69&lt;=$B$5*$B$6,$B$4*100/$B$6+IF(A69=$B$5*$B$6,100,0),0)</f>
        <v>0</v>
      </c>
      <c r="D69" s="13" t="n">
        <f aca="false">IF(C69=0,0,1/(1+$B$7/$B$6)^A69)</f>
        <v>0</v>
      </c>
      <c r="E69" s="12" t="n">
        <f aca="false">C69*D69</f>
        <v>0</v>
      </c>
      <c r="F69" s="12" t="n">
        <f aca="false">IF(C69=0,0,C69*A69*(A69+1)/(1+$B$7/$B$6)^(A69+2))</f>
        <v>0</v>
      </c>
      <c r="G69" s="12" t="n">
        <f aca="false">IF(C69=0,0,C69/(1+($B$7+$B$9/10000)/$B$6)^A69)</f>
        <v>0</v>
      </c>
    </row>
    <row r="70" customFormat="false" ht="15" hidden="false" customHeight="false" outlineLevel="0" collapsed="false">
      <c r="A70" s="3" t="n">
        <v>56</v>
      </c>
      <c r="B70" s="12" t="n">
        <f aca="false">IF(A70&lt;=$B$5*$B$6,A70/$B$6,0)</f>
        <v>0</v>
      </c>
      <c r="C70" s="12" t="n">
        <f aca="false">IF(A70&lt;=$B$5*$B$6,$B$4*100/$B$6+IF(A70=$B$5*$B$6,100,0),0)</f>
        <v>0</v>
      </c>
      <c r="D70" s="13" t="n">
        <f aca="false">IF(C70=0,0,1/(1+$B$7/$B$6)^A70)</f>
        <v>0</v>
      </c>
      <c r="E70" s="12" t="n">
        <f aca="false">C70*D70</f>
        <v>0</v>
      </c>
      <c r="F70" s="12" t="n">
        <f aca="false">IF(C70=0,0,C70*A70*(A70+1)/(1+$B$7/$B$6)^(A70+2))</f>
        <v>0</v>
      </c>
      <c r="G70" s="12" t="n">
        <f aca="false">IF(C70=0,0,C70/(1+($B$7+$B$9/10000)/$B$6)^A70)</f>
        <v>0</v>
      </c>
    </row>
    <row r="71" customFormat="false" ht="15" hidden="false" customHeight="false" outlineLevel="0" collapsed="false">
      <c r="A71" s="3" t="n">
        <v>57</v>
      </c>
      <c r="B71" s="12" t="n">
        <f aca="false">IF(A71&lt;=$B$5*$B$6,A71/$B$6,0)</f>
        <v>0</v>
      </c>
      <c r="C71" s="12" t="n">
        <f aca="false">IF(A71&lt;=$B$5*$B$6,$B$4*100/$B$6+IF(A71=$B$5*$B$6,100,0),0)</f>
        <v>0</v>
      </c>
      <c r="D71" s="13" t="n">
        <f aca="false">IF(C71=0,0,1/(1+$B$7/$B$6)^A71)</f>
        <v>0</v>
      </c>
      <c r="E71" s="12" t="n">
        <f aca="false">C71*D71</f>
        <v>0</v>
      </c>
      <c r="F71" s="12" t="n">
        <f aca="false">IF(C71=0,0,C71*A71*(A71+1)/(1+$B$7/$B$6)^(A71+2))</f>
        <v>0</v>
      </c>
      <c r="G71" s="12" t="n">
        <f aca="false">IF(C71=0,0,C71/(1+($B$7+$B$9/10000)/$B$6)^A71)</f>
        <v>0</v>
      </c>
    </row>
    <row r="72" customFormat="false" ht="15" hidden="false" customHeight="false" outlineLevel="0" collapsed="false">
      <c r="A72" s="3" t="n">
        <v>58</v>
      </c>
      <c r="B72" s="12" t="n">
        <f aca="false">IF(A72&lt;=$B$5*$B$6,A72/$B$6,0)</f>
        <v>0</v>
      </c>
      <c r="C72" s="12" t="n">
        <f aca="false">IF(A72&lt;=$B$5*$B$6,$B$4*100/$B$6+IF(A72=$B$5*$B$6,100,0),0)</f>
        <v>0</v>
      </c>
      <c r="D72" s="13" t="n">
        <f aca="false">IF(C72=0,0,1/(1+$B$7/$B$6)^A72)</f>
        <v>0</v>
      </c>
      <c r="E72" s="12" t="n">
        <f aca="false">C72*D72</f>
        <v>0</v>
      </c>
      <c r="F72" s="12" t="n">
        <f aca="false">IF(C72=0,0,C72*A72*(A72+1)/(1+$B$7/$B$6)^(A72+2))</f>
        <v>0</v>
      </c>
      <c r="G72" s="12" t="n">
        <f aca="false">IF(C72=0,0,C72/(1+($B$7+$B$9/10000)/$B$6)^A72)</f>
        <v>0</v>
      </c>
    </row>
    <row r="73" customFormat="false" ht="15" hidden="false" customHeight="false" outlineLevel="0" collapsed="false">
      <c r="A73" s="3" t="n">
        <v>59</v>
      </c>
      <c r="B73" s="12" t="n">
        <f aca="false">IF(A73&lt;=$B$5*$B$6,A73/$B$6,0)</f>
        <v>0</v>
      </c>
      <c r="C73" s="12" t="n">
        <f aca="false">IF(A73&lt;=$B$5*$B$6,$B$4*100/$B$6+IF(A73=$B$5*$B$6,100,0),0)</f>
        <v>0</v>
      </c>
      <c r="D73" s="13" t="n">
        <f aca="false">IF(C73=0,0,1/(1+$B$7/$B$6)^A73)</f>
        <v>0</v>
      </c>
      <c r="E73" s="12" t="n">
        <f aca="false">C73*D73</f>
        <v>0</v>
      </c>
      <c r="F73" s="12" t="n">
        <f aca="false">IF(C73=0,0,C73*A73*(A73+1)/(1+$B$7/$B$6)^(A73+2))</f>
        <v>0</v>
      </c>
      <c r="G73" s="12" t="n">
        <f aca="false">IF(C73=0,0,C73/(1+($B$7+$B$9/10000)/$B$6)^A73)</f>
        <v>0</v>
      </c>
    </row>
    <row r="74" customFormat="false" ht="15" hidden="false" customHeight="false" outlineLevel="0" collapsed="false">
      <c r="A74" s="3" t="n">
        <v>60</v>
      </c>
      <c r="B74" s="12" t="n">
        <f aca="false">IF(A74&lt;=$B$5*$B$6,A74/$B$6,0)</f>
        <v>0</v>
      </c>
      <c r="C74" s="12" t="n">
        <f aca="false">IF(A74&lt;=$B$5*$B$6,$B$4*100/$B$6+IF(A74=$B$5*$B$6,100,0),0)</f>
        <v>0</v>
      </c>
      <c r="D74" s="13" t="n">
        <f aca="false">IF(C74=0,0,1/(1+$B$7/$B$6)^A74)</f>
        <v>0</v>
      </c>
      <c r="E74" s="12" t="n">
        <f aca="false">C74*D74</f>
        <v>0</v>
      </c>
      <c r="F74" s="12" t="n">
        <f aca="false">IF(C74=0,0,C74*A74*(A74+1)/(1+$B$7/$B$6)^(A74+2))</f>
        <v>0</v>
      </c>
      <c r="G74" s="12" t="n">
        <f aca="false">IF(C74=0,0,C74/(1+($B$7+$B$9/10000)/$B$6)^A74)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4" min="4" style="0" width="24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15" hidden="false" customHeight="false" outlineLevel="0" collapsed="false">
      <c r="A4" s="3" t="s">
        <v>25</v>
      </c>
      <c r="B4" s="14" t="n">
        <v>500</v>
      </c>
    </row>
    <row r="5" customFormat="false" ht="15" hidden="false" customHeight="false" outlineLevel="0" collapsed="false">
      <c r="A5" s="3" t="s">
        <v>26</v>
      </c>
      <c r="B5" s="14" t="n">
        <v>1500</v>
      </c>
    </row>
    <row r="6" customFormat="false" ht="15" hidden="false" customHeight="false" outlineLevel="0" collapsed="false">
      <c r="A6" s="3" t="s">
        <v>27</v>
      </c>
      <c r="B6" s="14" t="n">
        <v>200</v>
      </c>
    </row>
    <row r="7" customFormat="false" ht="15" hidden="false" customHeight="false" outlineLevel="0" collapsed="false">
      <c r="A7" s="3" t="s">
        <v>28</v>
      </c>
      <c r="B7" s="14" t="n">
        <v>120</v>
      </c>
    </row>
    <row r="8" customFormat="false" ht="15" hidden="false" customHeight="false" outlineLevel="0" collapsed="false">
      <c r="A8" s="3" t="s">
        <v>29</v>
      </c>
      <c r="B8" s="14" t="n">
        <v>300</v>
      </c>
    </row>
    <row r="9" customFormat="false" ht="15" hidden="false" customHeight="false" outlineLevel="0" collapsed="false">
      <c r="A9" s="3" t="s">
        <v>30</v>
      </c>
      <c r="B9" s="5" t="n">
        <v>5</v>
      </c>
    </row>
    <row r="11" customFormat="false" ht="15" hidden="false" customHeight="false" outlineLevel="0" collapsed="false">
      <c r="A11" s="8" t="s">
        <v>31</v>
      </c>
    </row>
    <row r="12" customFormat="false" ht="15" hidden="false" customHeight="false" outlineLevel="0" collapsed="false">
      <c r="A12" s="3" t="s">
        <v>32</v>
      </c>
      <c r="B12" s="15" t="n">
        <f aca="false">B5-B6</f>
        <v>1300</v>
      </c>
      <c r="D12" s="16" t="s">
        <v>33</v>
      </c>
      <c r="E12" s="16" t="s">
        <v>34</v>
      </c>
    </row>
    <row r="13" customFormat="false" ht="15" hidden="false" customHeight="false" outlineLevel="0" collapsed="false">
      <c r="A13" s="3" t="s">
        <v>35</v>
      </c>
      <c r="B13" s="17" t="n">
        <f aca="false">B12/B4</f>
        <v>2.6</v>
      </c>
      <c r="D13" s="3" t="s">
        <v>36</v>
      </c>
      <c r="E13" s="18" t="n">
        <v>60</v>
      </c>
    </row>
    <row r="14" customFormat="false" ht="15" hidden="false" customHeight="false" outlineLevel="0" collapsed="false">
      <c r="A14" s="3" t="s">
        <v>37</v>
      </c>
      <c r="B14" s="17" t="n">
        <f aca="false">B4/B7</f>
        <v>4.16666666666667</v>
      </c>
      <c r="D14" s="3" t="s">
        <v>38</v>
      </c>
      <c r="E14" s="18" t="n">
        <v>150</v>
      </c>
    </row>
    <row r="15" customFormat="false" ht="15" hidden="false" customHeight="false" outlineLevel="0" collapsed="false">
      <c r="A15" s="3" t="s">
        <v>39</v>
      </c>
      <c r="B15" s="17" t="n">
        <f aca="false">(B12+B8)/B4</f>
        <v>3.2</v>
      </c>
      <c r="D15" s="3" t="s">
        <v>40</v>
      </c>
      <c r="E15" s="18" t="n">
        <v>300</v>
      </c>
    </row>
    <row r="16" customFormat="false" ht="15" hidden="false" customHeight="false" outlineLevel="0" collapsed="false">
      <c r="A16" s="3" t="s">
        <v>41</v>
      </c>
      <c r="B16" s="16" t="str">
        <f aca="false">IF(AND(B13&lt;=1,B14&gt;=8),"AAA to AA",IF(AND(B13&lt;=2.5,B14&gt;=5),"A",IF(AND(B13&lt;=4,B14&gt;=3),"BBB","Below investment grade")))</f>
        <v>BBB</v>
      </c>
      <c r="D16" s="3" t="s">
        <v>42</v>
      </c>
      <c r="E16" s="18" t="n">
        <v>550</v>
      </c>
    </row>
    <row r="17" customFormat="false" ht="15" hidden="false" customHeight="false" outlineLevel="0" collapsed="false">
      <c r="A17" s="3" t="s">
        <v>43</v>
      </c>
      <c r="B17" s="7" t="n">
        <f aca="false">INDEX($E$13:$E$16,MATCH(B16,$D$13:$D$16,0))</f>
        <v>300</v>
      </c>
    </row>
    <row r="18" customFormat="false" ht="15" hidden="false" customHeight="false" outlineLevel="0" collapsed="false">
      <c r="A18" s="3" t="s">
        <v>44</v>
      </c>
      <c r="B18" s="9" t="n">
        <f aca="false">Bond!B8+B17/10000</f>
        <v>0.098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2026-10-05T20:05:34Z</dcterms:created>
  <dc:creator>openpyxl</dc:creator>
  <dc:description/>
  <dc:language>en-US</dc:language>
  <cp:lastModifiedBy/>
  <dcterms:modified xsi:type="dcterms:W3CDTF">2026-10-05T20:05:34Z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
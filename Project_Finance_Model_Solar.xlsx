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turns" sheetId="2" state="visible" r:id="rId4"/>
    <sheet name="Cash flow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<sst xmlns="http://schemas.openxmlformats.org/spreadsheetml/2006/main" count="60" uniqueCount="60">
  <si>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Project Finance Model: 100 MW Solar Plant</t>
  </si>
  <si>
    <t xml:space="preserve">Illustrative assumptions for learning; ₹ crore unless stated. Blue cells are inputs.</t>
  </si>
  <si>
    <t xml:space="preserve">Capacity (MW)</t>
  </si>
  <si>
    <t xml:space="preserve">Capacity utilisation factor</t>
  </si>
  <si>
    <t xml:space="preserve">Share of the year the plant produces at full output</t>
  </si>
  <si>
    <t xml:space="preserve">Annual degradation</t>
  </si>
  <si>
    <t xml:space="preserve">Panel output decline per year</t>
  </si>
  <si>
    <t xml:space="preserve">Tariff (₹ per kWh, fixed for 25 years)</t>
  </si>
  <si>
    <t xml:space="preserve">Long-term power purchase agreement</t>
  </si>
  <si>
    <t xml:space="preserve">Capex (₹ crore per MW)</t>
  </si>
  <si>
    <t xml:space="preserve">O&amp;M year 1 (₹ crore per MW)</t>
  </si>
  <si>
    <t xml:space="preserve">O&amp;M escalation</t>
  </si>
  <si>
    <t xml:space="preserve">Debt share of capex</t>
  </si>
  <si>
    <t xml:space="preserve">Gearing</t>
  </si>
  <si>
    <t xml:space="preserve">Interest rate</t>
  </si>
  <si>
    <t xml:space="preserve">Loan tenor (years)</t>
  </si>
  <si>
    <t xml:space="preserve">Annuity repayment</t>
  </si>
  <si>
    <t xml:space="preserve">Target minimum DSCR</t>
  </si>
  <si>
    <t xml:space="preserve">Lenders' covenant</t>
  </si>
  <si>
    <t xml:space="preserve">Tax rate</t>
  </si>
  <si>
    <t xml:space="preserve">Tax depreciation life (years)</t>
  </si>
  <si>
    <t xml:space="preserve">Straight line</t>
  </si>
  <si>
    <t xml:space="preserve">Project life (years)</t>
  </si>
  <si>
    <t xml:space="preserve">Derived</t>
  </si>
  <si>
    <t xml:space="preserve">Total capex</t>
  </si>
  <si>
    <t xml:space="preserve">Debt</t>
  </si>
  <si>
    <t xml:space="preserve">Equity</t>
  </si>
  <si>
    <t xml:space="preserve">Annual debt service (annuity)</t>
  </si>
  <si>
    <t xml:space="preserve">Annual tax depreciation</t>
  </si>
  <si>
    <t xml:space="preserve">Returns and lender metrics</t>
  </si>
  <si>
    <t xml:space="preserve">Minimum DSCR (loan life)</t>
  </si>
  <si>
    <t xml:space="preserve">Average DSCR (loan life)</t>
  </si>
  <si>
    <t xml:space="preserve">Meets target DSCR?</t>
  </si>
  <si>
    <t xml:space="preserve">Loan life coverage ratio (LLCR)</t>
  </si>
  <si>
    <t xml:space="preserve">Debt capacity at target DSCR (₹ crore)</t>
  </si>
  <si>
    <t xml:space="preserve">Implied maximum gearing</t>
  </si>
  <si>
    <t xml:space="preserve">Equity IRR</t>
  </si>
  <si>
    <t xml:space="preserve">Project IRR (unlevered, post-tax)</t>
  </si>
  <si>
    <t xml:space="preserve">Year-1 revenue (₹ crore)</t>
  </si>
  <si>
    <t xml:space="preserve">Year-1 EBITDA margin</t>
  </si>
  <si>
    <t xml:space="preserve">Debt capacity sizes the loan so that CFADS covers debt service at the target DSCR over the loan life (sculpted-repayment logic).</t>
  </si>
  <si>
    <t xml:space="preserve">Simplifications: no construction period, no reserve accounts, tax losses not carried forward. For learning, not investment advice.</t>
  </si>
  <si>
    <t xml:space="preserve">Annual cash flows and debt service (₹ crore)</t>
  </si>
  <si>
    <t xml:space="preserve">Year</t>
  </si>
  <si>
    <t xml:space="preserve">Generation (million kWh)</t>
  </si>
  <si>
    <t xml:space="preserve">Revenue</t>
  </si>
  <si>
    <t xml:space="preserve">O&amp;M cost</t>
  </si>
  <si>
    <t xml:space="preserve">EBITDA</t>
  </si>
  <si>
    <t xml:space="preserve">Tax depreciation</t>
  </si>
  <si>
    <t xml:space="preserve">Opening debt</t>
  </si>
  <si>
    <t xml:space="preserve">Interest</t>
  </si>
  <si>
    <t xml:space="preserve">Principal repayment</t>
  </si>
  <si>
    <t xml:space="preserve">Closing debt</t>
  </si>
  <si>
    <t xml:space="preserve">Taxable income</t>
  </si>
  <si>
    <t xml:space="preserve">Tax</t>
  </si>
  <si>
    <t xml:space="preserve">CFADS (cash available for debt service)</t>
  </si>
  <si>
    <t xml:space="preserve">Debt service</t>
  </si>
  <si>
    <t xml:space="preserve">DSCR</t>
  </si>
  <si>
    <t xml:space="preserve">Equity cash flow</t>
  </si>
  <si>
    <t xml:space="preserve">Project cash flow (unlevered, post-tax)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</si>
</sst>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%"/>
    <numFmt numFmtId="167" formatCode="0.00"/>
    <numFmt numFmtId="168" formatCode="0.000"/>
    <numFmt numFmtId="169" formatCode="0.00\x"/>
    <numFmt numFmtId="170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13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3213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3213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100</v>
      </c>
    </row>
    <row r="5" customFormat="false" ht="15" hidden="false" customHeight="false" outlineLevel="0" collapsed="false">
      <c r="A5" s="3" t="s">
        <v>3</v>
      </c>
      <c r="B5" s="5" t="n">
        <v>0.24</v>
      </c>
      <c r="C5" s="2" t="s">
        <v>4</v>
      </c>
    </row>
    <row r="6" customFormat="false" ht="15" hidden="false" customHeight="false" outlineLevel="0" collapsed="false">
      <c r="A6" s="3" t="s">
        <v>5</v>
      </c>
      <c r="B6" s="5" t="n">
        <v>0.005</v>
      </c>
      <c r="C6" s="2" t="s">
        <v>6</v>
      </c>
    </row>
    <row r="7" customFormat="false" ht="15" hidden="false" customHeight="false" outlineLevel="0" collapsed="false">
      <c r="A7" s="3" t="s">
        <v>7</v>
      </c>
      <c r="B7" s="6" t="n">
        <v>2.6</v>
      </c>
      <c r="C7" s="2" t="s">
        <v>8</v>
      </c>
    </row>
    <row r="8" customFormat="false" ht="15" hidden="false" customHeight="false" outlineLevel="0" collapsed="false">
      <c r="A8" s="3" t="s">
        <v>9</v>
      </c>
      <c r="B8" s="6" t="n">
        <v>4</v>
      </c>
    </row>
    <row r="9" customFormat="false" ht="15" hidden="false" customHeight="false" outlineLevel="0" collapsed="false">
      <c r="A9" s="3" t="s">
        <v>10</v>
      </c>
      <c r="B9" s="7" t="n">
        <v>0.06</v>
      </c>
    </row>
    <row r="10" customFormat="false" ht="15" hidden="false" customHeight="false" outlineLevel="0" collapsed="false">
      <c r="A10" s="3" t="s">
        <v>11</v>
      </c>
      <c r="B10" s="5" t="n">
        <v>0.035</v>
      </c>
    </row>
    <row r="11" customFormat="false" ht="15" hidden="false" customHeight="false" outlineLevel="0" collapsed="false">
      <c r="A11" s="3" t="s">
        <v>12</v>
      </c>
      <c r="B11" s="5" t="n">
        <v>0.75</v>
      </c>
      <c r="C11" s="2" t="s">
        <v>13</v>
      </c>
    </row>
    <row r="12" customFormat="false" ht="15" hidden="false" customHeight="false" outlineLevel="0" collapsed="false">
      <c r="A12" s="3" t="s">
        <v>14</v>
      </c>
      <c r="B12" s="5" t="n">
        <v>0.09</v>
      </c>
    </row>
    <row r="13" customFormat="false" ht="15" hidden="false" customHeight="false" outlineLevel="0" collapsed="false">
      <c r="A13" s="3" t="s">
        <v>15</v>
      </c>
      <c r="B13" s="4" t="n">
        <v>18</v>
      </c>
      <c r="C13" s="2" t="s">
        <v>16</v>
      </c>
    </row>
    <row r="14" customFormat="false" ht="15" hidden="false" customHeight="false" outlineLevel="0" collapsed="false">
      <c r="A14" s="3" t="s">
        <v>17</v>
      </c>
      <c r="B14" s="8" t="n">
        <v>1.25</v>
      </c>
      <c r="C14" s="2" t="s">
        <v>18</v>
      </c>
    </row>
    <row r="15" customFormat="false" ht="15" hidden="false" customHeight="false" outlineLevel="0" collapsed="false">
      <c r="A15" s="3" t="s">
        <v>19</v>
      </c>
      <c r="B15" s="5" t="n">
        <v>0.2517</v>
      </c>
    </row>
    <row r="16" customFormat="false" ht="15" hidden="false" customHeight="false" outlineLevel="0" collapsed="false">
      <c r="A16" s="3" t="s">
        <v>20</v>
      </c>
      <c r="B16" s="4" t="n">
        <v>25</v>
      </c>
      <c r="C16" s="2" t="s">
        <v>21</v>
      </c>
    </row>
    <row r="17" customFormat="false" ht="15" hidden="false" customHeight="false" outlineLevel="0" collapsed="false">
      <c r="A17" s="3" t="s">
        <v>22</v>
      </c>
      <c r="B17" s="4" t="n">
        <v>25</v>
      </c>
    </row>
    <row r="18" customFormat="false" ht="15" hidden="false" customHeight="false" outlineLevel="0" collapsed="false">
      <c r="A18" s="9" t="s">
        <v>23</v>
      </c>
    </row>
    <row r="19" customFormat="false" ht="15" hidden="false" customHeight="false" outlineLevel="0" collapsed="false">
      <c r="A19" s="3" t="s">
        <v>24</v>
      </c>
      <c r="B19" s="10" t="n">
        <f aca="false">B4*B8</f>
        <v>400</v>
      </c>
    </row>
    <row r="20" customFormat="false" ht="15" hidden="false" customHeight="false" outlineLevel="0" collapsed="false">
      <c r="A20" s="3" t="s">
        <v>25</v>
      </c>
      <c r="B20" s="10" t="n">
        <f aca="false">B19*B11</f>
        <v>300</v>
      </c>
    </row>
    <row r="21" customFormat="false" ht="15" hidden="false" customHeight="false" outlineLevel="0" collapsed="false">
      <c r="A21" s="3" t="s">
        <v>26</v>
      </c>
      <c r="B21" s="10" t="n">
        <f aca="false">B19-B20</f>
        <v>100</v>
      </c>
    </row>
    <row r="22" customFormat="false" ht="15" hidden="false" customHeight="false" outlineLevel="0" collapsed="false">
      <c r="A22" s="3" t="s">
        <v>27</v>
      </c>
      <c r="B22" s="10" t="n">
        <f aca="false">PMT(B12,B13,-B20)</f>
        <v>34.263687201102</v>
      </c>
    </row>
    <row r="23" customFormat="false" ht="15" hidden="false" customHeight="false" outlineLevel="0" collapsed="false">
      <c r="A23" s="3" t="s">
        <v>28</v>
      </c>
      <c r="B23" s="10" t="n">
        <f aca="false">B19/B16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3" t="s">
        <v>30</v>
      </c>
      <c r="B3" s="11" t="n">
        <f aca="false">MIN('Cash flows'!C17:T17)</f>
        <v>0.999432839385034</v>
      </c>
    </row>
    <row r="4" customFormat="false" ht="15" hidden="false" customHeight="false" outlineLevel="0" collapsed="false">
      <c r="A4" s="3" t="s">
        <v>31</v>
      </c>
      <c r="B4" s="11" t="n">
        <f aca="false">AVERAGE('Cash flows'!C17:T17)</f>
        <v>1.21283766078525</v>
      </c>
    </row>
    <row r="5" customFormat="false" ht="15" hidden="false" customHeight="false" outlineLevel="0" collapsed="false">
      <c r="A5" s="3" t="s">
        <v>32</v>
      </c>
      <c r="B5" s="12" t="str">
        <f aca="false">IF(B3&gt;=Inputs!B14,"Yes","No: resize debt")</f>
        <v>No: resize debt</v>
      </c>
    </row>
    <row r="6" customFormat="false" ht="15" hidden="false" customHeight="false" outlineLevel="0" collapsed="false">
      <c r="A6" s="3" t="s">
        <v>33</v>
      </c>
      <c r="B6" s="11" t="n">
        <f aca="false">NPV(Inputs!B12,'Cash flows'!C15:T15)/Inputs!B20</f>
        <v>1.26085290104684</v>
      </c>
    </row>
    <row r="7" customFormat="false" ht="15" hidden="false" customHeight="false" outlineLevel="0" collapsed="false">
      <c r="A7" s="3" t="s">
        <v>34</v>
      </c>
      <c r="B7" s="13" t="n">
        <f aca="false">NPV(Inputs!B12,'Cash flows'!C15:T15)/Inputs!B14</f>
        <v>302.604696251243</v>
      </c>
    </row>
    <row r="8" customFormat="false" ht="15" hidden="false" customHeight="false" outlineLevel="0" collapsed="false">
      <c r="A8" s="3" t="s">
        <v>35</v>
      </c>
      <c r="B8" s="14" t="n">
        <f aca="false">B7/Inputs!B19</f>
        <v>0.756511740628106</v>
      </c>
    </row>
    <row r="9" customFormat="false" ht="15" hidden="false" customHeight="false" outlineLevel="0" collapsed="false">
      <c r="A9" s="3" t="s">
        <v>36</v>
      </c>
      <c r="B9" s="14" t="n">
        <f aca="false">IRR('Cash flows'!B18:AA18)</f>
        <v>0.102722149489989</v>
      </c>
    </row>
    <row r="10" customFormat="false" ht="15" hidden="false" customHeight="false" outlineLevel="0" collapsed="false">
      <c r="A10" s="3" t="s">
        <v>37</v>
      </c>
      <c r="B10" s="14" t="n">
        <f aca="false">IRR('Cash flows'!B19:AA19)</f>
        <v>0.079033024737581</v>
      </c>
    </row>
    <row r="11" customFormat="false" ht="15" hidden="false" customHeight="false" outlineLevel="0" collapsed="false">
      <c r="A11" s="3" t="s">
        <v>38</v>
      </c>
      <c r="B11" s="13" t="n">
        <f aca="false">'Cash flows'!C5</f>
        <v>54.6624</v>
      </c>
    </row>
    <row r="12" customFormat="false" ht="15" hidden="false" customHeight="false" outlineLevel="0" collapsed="false">
      <c r="A12" s="3" t="s">
        <v>39</v>
      </c>
      <c r="B12" s="14" t="n">
        <f aca="false">'Cash flows'!C7/'Cash flows'!C5</f>
        <v>0.890235335440815</v>
      </c>
    </row>
    <row r="14" customFormat="false" ht="15" hidden="false" customHeight="false" outlineLevel="0" collapsed="false">
      <c r="A14" s="2" t="s">
        <v>40</v>
      </c>
    </row>
    <row r="15" customFormat="false" ht="15" hidden="false" customHeight="false" outlineLevel="0" collapsed="false">
      <c r="A15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7" min="2" style="0" width="9.51"/>
  </cols>
  <sheetData>
    <row r="1" customFormat="false" ht="17.35" hidden="false" customHeight="false" outlineLevel="0" collapsed="false">
      <c r="A1" s="1" t="s">
        <v>42</v>
      </c>
    </row>
    <row r="3" customFormat="false" ht="15" hidden="false" customHeight="false" outlineLevel="0" collapsed="false">
      <c r="A3" s="15" t="s">
        <v>43</v>
      </c>
      <c r="B3" s="16" t="n">
        <v>0</v>
      </c>
      <c r="C3" s="16" t="n">
        <v>1</v>
      </c>
      <c r="D3" s="16" t="n">
        <v>2</v>
      </c>
      <c r="E3" s="16" t="n">
        <v>3</v>
      </c>
      <c r="F3" s="16" t="n">
        <v>4</v>
      </c>
      <c r="G3" s="16" t="n">
        <v>5</v>
      </c>
      <c r="H3" s="16" t="n">
        <v>6</v>
      </c>
      <c r="I3" s="16" t="n">
        <v>7</v>
      </c>
      <c r="J3" s="16" t="n">
        <v>8</v>
      </c>
      <c r="K3" s="16" t="n">
        <v>9</v>
      </c>
      <c r="L3" s="16" t="n">
        <v>10</v>
      </c>
      <c r="M3" s="16" t="n">
        <v>11</v>
      </c>
      <c r="N3" s="16" t="n">
        <v>12</v>
      </c>
      <c r="O3" s="16" t="n">
        <v>13</v>
      </c>
      <c r="P3" s="16" t="n">
        <v>14</v>
      </c>
      <c r="Q3" s="16" t="n">
        <v>15</v>
      </c>
      <c r="R3" s="16" t="n">
        <v>16</v>
      </c>
      <c r="S3" s="16" t="n">
        <v>17</v>
      </c>
      <c r="T3" s="16" t="n">
        <v>18</v>
      </c>
      <c r="U3" s="16" t="n">
        <v>19</v>
      </c>
      <c r="V3" s="16" t="n">
        <v>20</v>
      </c>
      <c r="W3" s="16" t="n">
        <v>21</v>
      </c>
      <c r="X3" s="16" t="n">
        <v>22</v>
      </c>
      <c r="Y3" s="16" t="n">
        <v>23</v>
      </c>
      <c r="Z3" s="16" t="n">
        <v>24</v>
      </c>
      <c r="AA3" s="16" t="n">
        <v>25</v>
      </c>
    </row>
    <row r="4" customFormat="false" ht="15" hidden="false" customHeight="false" outlineLevel="0" collapsed="false">
      <c r="A4" s="3" t="s">
        <v>44</v>
      </c>
      <c r="B4" s="10" t="n">
        <v>0</v>
      </c>
      <c r="C4" s="10" t="n">
        <f aca="false">Inputs!$B$4*8760*Inputs!$B$5*(1-Inputs!$B$6)^(C$3-1)/1000</f>
        <v>210.24</v>
      </c>
      <c r="D4" s="10" t="n">
        <f aca="false">Inputs!$B$4*8760*Inputs!$B$5*(1-Inputs!$B$6)^(D$3-1)/1000</f>
        <v>209.1888</v>
      </c>
      <c r="E4" s="10" t="n">
        <f aca="false">Inputs!$B$4*8760*Inputs!$B$5*(1-Inputs!$B$6)^(E$3-1)/1000</f>
        <v>208.142856</v>
      </c>
      <c r="F4" s="10" t="n">
        <f aca="false">Inputs!$B$4*8760*Inputs!$B$5*(1-Inputs!$B$6)^(F$3-1)/1000</f>
        <v>207.10214172</v>
      </c>
      <c r="G4" s="10" t="n">
        <f aca="false">Inputs!$B$4*8760*Inputs!$B$5*(1-Inputs!$B$6)^(G$3-1)/1000</f>
        <v>206.0666310114</v>
      </c>
      <c r="H4" s="10" t="n">
        <f aca="false">Inputs!$B$4*8760*Inputs!$B$5*(1-Inputs!$B$6)^(H$3-1)/1000</f>
        <v>205.036297856343</v>
      </c>
      <c r="I4" s="10" t="n">
        <f aca="false">Inputs!$B$4*8760*Inputs!$B$5*(1-Inputs!$B$6)^(I$3-1)/1000</f>
        <v>204.011116367061</v>
      </c>
      <c r="J4" s="10" t="n">
        <f aca="false">Inputs!$B$4*8760*Inputs!$B$5*(1-Inputs!$B$6)^(J$3-1)/1000</f>
        <v>202.991060785226</v>
      </c>
      <c r="K4" s="10" t="n">
        <f aca="false">Inputs!$B$4*8760*Inputs!$B$5*(1-Inputs!$B$6)^(K$3-1)/1000</f>
        <v>201.9761054813</v>
      </c>
      <c r="L4" s="10" t="n">
        <f aca="false">Inputs!$B$4*8760*Inputs!$B$5*(1-Inputs!$B$6)^(L$3-1)/1000</f>
        <v>200.966224953893</v>
      </c>
      <c r="M4" s="10" t="n">
        <f aca="false">Inputs!$B$4*8760*Inputs!$B$5*(1-Inputs!$B$6)^(M$3-1)/1000</f>
        <v>199.961393829124</v>
      </c>
      <c r="N4" s="10" t="n">
        <f aca="false">Inputs!$B$4*8760*Inputs!$B$5*(1-Inputs!$B$6)^(N$3-1)/1000</f>
        <v>198.961586859978</v>
      </c>
      <c r="O4" s="10" t="n">
        <f aca="false">Inputs!$B$4*8760*Inputs!$B$5*(1-Inputs!$B$6)^(O$3-1)/1000</f>
        <v>197.966778925678</v>
      </c>
      <c r="P4" s="10" t="n">
        <f aca="false">Inputs!$B$4*8760*Inputs!$B$5*(1-Inputs!$B$6)^(P$3-1)/1000</f>
        <v>196.97694503105</v>
      </c>
      <c r="Q4" s="10" t="n">
        <f aca="false">Inputs!$B$4*8760*Inputs!$B$5*(1-Inputs!$B$6)^(Q$3-1)/1000</f>
        <v>195.992060305895</v>
      </c>
      <c r="R4" s="10" t="n">
        <f aca="false">Inputs!$B$4*8760*Inputs!$B$5*(1-Inputs!$B$6)^(R$3-1)/1000</f>
        <v>195.012100004365</v>
      </c>
      <c r="S4" s="10" t="n">
        <f aca="false">Inputs!$B$4*8760*Inputs!$B$5*(1-Inputs!$B$6)^(S$3-1)/1000</f>
        <v>194.037039504343</v>
      </c>
      <c r="T4" s="10" t="n">
        <f aca="false">Inputs!$B$4*8760*Inputs!$B$5*(1-Inputs!$B$6)^(T$3-1)/1000</f>
        <v>193.066854306822</v>
      </c>
      <c r="U4" s="10" t="n">
        <f aca="false">Inputs!$B$4*8760*Inputs!$B$5*(1-Inputs!$B$6)^(U$3-1)/1000</f>
        <v>192.101520035288</v>
      </c>
      <c r="V4" s="10" t="n">
        <f aca="false">Inputs!$B$4*8760*Inputs!$B$5*(1-Inputs!$B$6)^(V$3-1)/1000</f>
        <v>191.141012435111</v>
      </c>
      <c r="W4" s="10" t="n">
        <f aca="false">Inputs!$B$4*8760*Inputs!$B$5*(1-Inputs!$B$6)^(W$3-1)/1000</f>
        <v>190.185307372936</v>
      </c>
      <c r="X4" s="10" t="n">
        <f aca="false">Inputs!$B$4*8760*Inputs!$B$5*(1-Inputs!$B$6)^(X$3-1)/1000</f>
        <v>189.234380836071</v>
      </c>
      <c r="Y4" s="10" t="n">
        <f aca="false">Inputs!$B$4*8760*Inputs!$B$5*(1-Inputs!$B$6)^(Y$3-1)/1000</f>
        <v>188.288208931891</v>
      </c>
      <c r="Z4" s="10" t="n">
        <f aca="false">Inputs!$B$4*8760*Inputs!$B$5*(1-Inputs!$B$6)^(Z$3-1)/1000</f>
        <v>187.346767887231</v>
      </c>
      <c r="AA4" s="10" t="n">
        <f aca="false">Inputs!$B$4*8760*Inputs!$B$5*(1-Inputs!$B$6)^(AA$3-1)/1000</f>
        <v>186.410034047795</v>
      </c>
    </row>
    <row r="5" customFormat="false" ht="15" hidden="false" customHeight="false" outlineLevel="0" collapsed="false">
      <c r="A5" s="3" t="s">
        <v>45</v>
      </c>
      <c r="B5" s="10" t="n">
        <v>0</v>
      </c>
      <c r="C5" s="10" t="n">
        <f aca="false">C4*Inputs!$B$7/10</f>
        <v>54.6624</v>
      </c>
      <c r="D5" s="10" t="n">
        <f aca="false">D4*Inputs!$B$7/10</f>
        <v>54.389088</v>
      </c>
      <c r="E5" s="10" t="n">
        <f aca="false">E4*Inputs!$B$7/10</f>
        <v>54.11714256</v>
      </c>
      <c r="F5" s="10" t="n">
        <f aca="false">F4*Inputs!$B$7/10</f>
        <v>53.8465568472</v>
      </c>
      <c r="G5" s="10" t="n">
        <f aca="false">G4*Inputs!$B$7/10</f>
        <v>53.577324062964</v>
      </c>
      <c r="H5" s="10" t="n">
        <f aca="false">H4*Inputs!$B$7/10</f>
        <v>53.3094374426492</v>
      </c>
      <c r="I5" s="10" t="n">
        <f aca="false">I4*Inputs!$B$7/10</f>
        <v>53.0428902554359</v>
      </c>
      <c r="J5" s="10" t="n">
        <f aca="false">J4*Inputs!$B$7/10</f>
        <v>52.7776758041588</v>
      </c>
      <c r="K5" s="10" t="n">
        <f aca="false">K4*Inputs!$B$7/10</f>
        <v>52.513787425138</v>
      </c>
      <c r="L5" s="10" t="n">
        <f aca="false">L4*Inputs!$B$7/10</f>
        <v>52.2512184880123</v>
      </c>
      <c r="M5" s="10" t="n">
        <f aca="false">M4*Inputs!$B$7/10</f>
        <v>51.9899623955722</v>
      </c>
      <c r="N5" s="10" t="n">
        <f aca="false">N4*Inputs!$B$7/10</f>
        <v>51.7300125835943</v>
      </c>
      <c r="O5" s="10" t="n">
        <f aca="false">O4*Inputs!$B$7/10</f>
        <v>51.4713625206764</v>
      </c>
      <c r="P5" s="10" t="n">
        <f aca="false">P4*Inputs!$B$7/10</f>
        <v>51.214005708073</v>
      </c>
      <c r="Q5" s="10" t="n">
        <f aca="false">Q4*Inputs!$B$7/10</f>
        <v>50.9579356795326</v>
      </c>
      <c r="R5" s="10" t="n">
        <f aca="false">R4*Inputs!$B$7/10</f>
        <v>50.703146001135</v>
      </c>
      <c r="S5" s="10" t="n">
        <f aca="false">S4*Inputs!$B$7/10</f>
        <v>50.4496302711293</v>
      </c>
      <c r="T5" s="10" t="n">
        <f aca="false">T4*Inputs!$B$7/10</f>
        <v>50.1973821197736</v>
      </c>
      <c r="U5" s="10" t="n">
        <f aca="false">U4*Inputs!$B$7/10</f>
        <v>49.9463952091748</v>
      </c>
      <c r="V5" s="10" t="n">
        <f aca="false">V4*Inputs!$B$7/10</f>
        <v>49.6966632331289</v>
      </c>
      <c r="W5" s="10" t="n">
        <f aca="false">W4*Inputs!$B$7/10</f>
        <v>49.4481799169633</v>
      </c>
      <c r="X5" s="10" t="n">
        <f aca="false">X4*Inputs!$B$7/10</f>
        <v>49.2009390173784</v>
      </c>
      <c r="Y5" s="10" t="n">
        <f aca="false">Y4*Inputs!$B$7/10</f>
        <v>48.9549343222916</v>
      </c>
      <c r="Z5" s="10" t="n">
        <f aca="false">Z4*Inputs!$B$7/10</f>
        <v>48.7101596506801</v>
      </c>
      <c r="AA5" s="10" t="n">
        <f aca="false">AA4*Inputs!$B$7/10</f>
        <v>48.4666088524267</v>
      </c>
    </row>
    <row r="6" customFormat="false" ht="15" hidden="false" customHeight="false" outlineLevel="0" collapsed="false">
      <c r="A6" s="3" t="s">
        <v>46</v>
      </c>
      <c r="B6" s="10" t="n">
        <v>0</v>
      </c>
      <c r="C6" s="10" t="n">
        <f aca="false">Inputs!$B$4*Inputs!$B$9*(1+Inputs!$B$10)^(C$3-1)</f>
        <v>6</v>
      </c>
      <c r="D6" s="10" t="n">
        <f aca="false">Inputs!$B$4*Inputs!$B$9*(1+Inputs!$B$10)^(D$3-1)</f>
        <v>6.21</v>
      </c>
      <c r="E6" s="10" t="n">
        <f aca="false">Inputs!$B$4*Inputs!$B$9*(1+Inputs!$B$10)^(E$3-1)</f>
        <v>6.42735</v>
      </c>
      <c r="F6" s="10" t="n">
        <f aca="false">Inputs!$B$4*Inputs!$B$9*(1+Inputs!$B$10)^(F$3-1)</f>
        <v>6.65230725</v>
      </c>
      <c r="G6" s="10" t="n">
        <f aca="false">Inputs!$B$4*Inputs!$B$9*(1+Inputs!$B$10)^(G$3-1)</f>
        <v>6.88513800375</v>
      </c>
      <c r="H6" s="10" t="n">
        <f aca="false">Inputs!$B$4*Inputs!$B$9*(1+Inputs!$B$10)^(H$3-1)</f>
        <v>7.12611783388125</v>
      </c>
      <c r="I6" s="10" t="n">
        <f aca="false">Inputs!$B$4*Inputs!$B$9*(1+Inputs!$B$10)^(I$3-1)</f>
        <v>7.37553195806709</v>
      </c>
      <c r="J6" s="10" t="n">
        <f aca="false">Inputs!$B$4*Inputs!$B$9*(1+Inputs!$B$10)^(J$3-1)</f>
        <v>7.63367557659944</v>
      </c>
      <c r="K6" s="10" t="n">
        <f aca="false">Inputs!$B$4*Inputs!$B$9*(1+Inputs!$B$10)^(K$3-1)</f>
        <v>7.90085422178042</v>
      </c>
      <c r="L6" s="10" t="n">
        <f aca="false">Inputs!$B$4*Inputs!$B$9*(1+Inputs!$B$10)^(L$3-1)</f>
        <v>8.17738411954273</v>
      </c>
      <c r="M6" s="10" t="n">
        <f aca="false">Inputs!$B$4*Inputs!$B$9*(1+Inputs!$B$10)^(M$3-1)</f>
        <v>8.46359256372673</v>
      </c>
      <c r="N6" s="10" t="n">
        <f aca="false">Inputs!$B$4*Inputs!$B$9*(1+Inputs!$B$10)^(N$3-1)</f>
        <v>8.75981830345716</v>
      </c>
      <c r="O6" s="10" t="n">
        <f aca="false">Inputs!$B$4*Inputs!$B$9*(1+Inputs!$B$10)^(O$3-1)</f>
        <v>9.06641194407816</v>
      </c>
      <c r="P6" s="10" t="n">
        <f aca="false">Inputs!$B$4*Inputs!$B$9*(1+Inputs!$B$10)^(P$3-1)</f>
        <v>9.3837363621209</v>
      </c>
      <c r="Q6" s="10" t="n">
        <f aca="false">Inputs!$B$4*Inputs!$B$9*(1+Inputs!$B$10)^(Q$3-1)</f>
        <v>9.71216713479513</v>
      </c>
      <c r="R6" s="10" t="n">
        <f aca="false">Inputs!$B$4*Inputs!$B$9*(1+Inputs!$B$10)^(R$3-1)</f>
        <v>10.052092984513</v>
      </c>
      <c r="S6" s="10" t="n">
        <f aca="false">Inputs!$B$4*Inputs!$B$9*(1+Inputs!$B$10)^(S$3-1)</f>
        <v>10.4039162389709</v>
      </c>
      <c r="T6" s="10" t="n">
        <f aca="false">Inputs!$B$4*Inputs!$B$9*(1+Inputs!$B$10)^(T$3-1)</f>
        <v>10.7680533073349</v>
      </c>
      <c r="U6" s="10" t="n">
        <f aca="false">Inputs!$B$4*Inputs!$B$9*(1+Inputs!$B$10)^(U$3-1)</f>
        <v>11.1449351730916</v>
      </c>
      <c r="V6" s="10" t="n">
        <f aca="false">Inputs!$B$4*Inputs!$B$9*(1+Inputs!$B$10)^(V$3-1)</f>
        <v>11.5350079041498</v>
      </c>
      <c r="W6" s="10" t="n">
        <f aca="false">Inputs!$B$4*Inputs!$B$9*(1+Inputs!$B$10)^(W$3-1)</f>
        <v>11.9387331807951</v>
      </c>
      <c r="X6" s="10" t="n">
        <f aca="false">Inputs!$B$4*Inputs!$B$9*(1+Inputs!$B$10)^(X$3-1)</f>
        <v>12.3565888421229</v>
      </c>
      <c r="Y6" s="10" t="n">
        <f aca="false">Inputs!$B$4*Inputs!$B$9*(1+Inputs!$B$10)^(Y$3-1)</f>
        <v>12.7890694515972</v>
      </c>
      <c r="Z6" s="10" t="n">
        <f aca="false">Inputs!$B$4*Inputs!$B$9*(1+Inputs!$B$10)^(Z$3-1)</f>
        <v>13.2366868824031</v>
      </c>
      <c r="AA6" s="10" t="n">
        <f aca="false">Inputs!$B$4*Inputs!$B$9*(1+Inputs!$B$10)^(AA$3-1)</f>
        <v>13.6999709232872</v>
      </c>
    </row>
    <row r="7" customFormat="false" ht="15" hidden="false" customHeight="false" outlineLevel="0" collapsed="false">
      <c r="A7" s="12" t="s">
        <v>47</v>
      </c>
      <c r="B7" s="10" t="n">
        <v>0</v>
      </c>
      <c r="C7" s="10" t="n">
        <f aca="false">C5-C6</f>
        <v>48.6624</v>
      </c>
      <c r="D7" s="10" t="n">
        <f aca="false">D5-D6</f>
        <v>48.179088</v>
      </c>
      <c r="E7" s="10" t="n">
        <f aca="false">E5-E6</f>
        <v>47.68979256</v>
      </c>
      <c r="F7" s="10" t="n">
        <f aca="false">F5-F6</f>
        <v>47.1942495972</v>
      </c>
      <c r="G7" s="10" t="n">
        <f aca="false">G5-G6</f>
        <v>46.692186059214</v>
      </c>
      <c r="H7" s="10" t="n">
        <f aca="false">H5-H6</f>
        <v>46.1833196087679</v>
      </c>
      <c r="I7" s="10" t="n">
        <f aca="false">I5-I6</f>
        <v>45.6673582973688</v>
      </c>
      <c r="J7" s="10" t="n">
        <f aca="false">J5-J6</f>
        <v>45.1440002275593</v>
      </c>
      <c r="K7" s="10" t="n">
        <f aca="false">K5-K6</f>
        <v>44.6129332033575</v>
      </c>
      <c r="L7" s="10" t="n">
        <f aca="false">L5-L6</f>
        <v>44.0738343684695</v>
      </c>
      <c r="M7" s="10" t="n">
        <f aca="false">M5-M6</f>
        <v>43.5263698318455</v>
      </c>
      <c r="N7" s="10" t="n">
        <f aca="false">N5-N6</f>
        <v>42.9701942801372</v>
      </c>
      <c r="O7" s="10" t="n">
        <f aca="false">O5-O6</f>
        <v>42.4049505765982</v>
      </c>
      <c r="P7" s="10" t="n">
        <f aca="false">P5-P6</f>
        <v>41.8302693459521</v>
      </c>
      <c r="Q7" s="10" t="n">
        <f aca="false">Q5-Q6</f>
        <v>41.2457685447375</v>
      </c>
      <c r="R7" s="10" t="n">
        <f aca="false">R5-R6</f>
        <v>40.651053016622</v>
      </c>
      <c r="S7" s="10" t="n">
        <f aca="false">S5-S6</f>
        <v>40.0457140321584</v>
      </c>
      <c r="T7" s="10" t="n">
        <f aca="false">T5-T6</f>
        <v>39.4293288124388</v>
      </c>
      <c r="U7" s="10" t="n">
        <f aca="false">U5-U6</f>
        <v>38.8014600360832</v>
      </c>
      <c r="V7" s="10" t="n">
        <f aca="false">V5-V6</f>
        <v>38.1616553289791</v>
      </c>
      <c r="W7" s="10" t="n">
        <f aca="false">W5-W6</f>
        <v>37.5094467361682</v>
      </c>
      <c r="X7" s="10" t="n">
        <f aca="false">X5-X6</f>
        <v>36.8443501752556</v>
      </c>
      <c r="Y7" s="10" t="n">
        <f aca="false">Y5-Y6</f>
        <v>36.1658648706944</v>
      </c>
      <c r="Z7" s="10" t="n">
        <f aca="false">Z5-Z6</f>
        <v>35.473472768277</v>
      </c>
      <c r="AA7" s="10" t="n">
        <f aca="false">AA5-AA6</f>
        <v>34.7666379291395</v>
      </c>
    </row>
    <row r="8" customFormat="false" ht="15" hidden="false" customHeight="false" outlineLevel="0" collapsed="false">
      <c r="A8" s="3" t="s">
        <v>48</v>
      </c>
      <c r="B8" s="10" t="n">
        <v>0</v>
      </c>
      <c r="C8" s="10" t="n">
        <f aca="false">IF(C$3&lt;=Inputs!$B$16,Inputs!$B$23,0)</f>
        <v>16</v>
      </c>
      <c r="D8" s="10" t="n">
        <f aca="false">IF(D$3&lt;=Inputs!$B$16,Inputs!$B$23,0)</f>
        <v>16</v>
      </c>
      <c r="E8" s="10" t="n">
        <f aca="false">IF(E$3&lt;=Inputs!$B$16,Inputs!$B$23,0)</f>
        <v>16</v>
      </c>
      <c r="F8" s="10" t="n">
        <f aca="false">IF(F$3&lt;=Inputs!$B$16,Inputs!$B$23,0)</f>
        <v>16</v>
      </c>
      <c r="G8" s="10" t="n">
        <f aca="false">IF(G$3&lt;=Inputs!$B$16,Inputs!$B$23,0)</f>
        <v>16</v>
      </c>
      <c r="H8" s="10" t="n">
        <f aca="false">IF(H$3&lt;=Inputs!$B$16,Inputs!$B$23,0)</f>
        <v>16</v>
      </c>
      <c r="I8" s="10" t="n">
        <f aca="false">IF(I$3&lt;=Inputs!$B$16,Inputs!$B$23,0)</f>
        <v>16</v>
      </c>
      <c r="J8" s="10" t="n">
        <f aca="false">IF(J$3&lt;=Inputs!$B$16,Inputs!$B$23,0)</f>
        <v>16</v>
      </c>
      <c r="K8" s="10" t="n">
        <f aca="false">IF(K$3&lt;=Inputs!$B$16,Inputs!$B$23,0)</f>
        <v>16</v>
      </c>
      <c r="L8" s="10" t="n">
        <f aca="false">IF(L$3&lt;=Inputs!$B$16,Inputs!$B$23,0)</f>
        <v>16</v>
      </c>
      <c r="M8" s="10" t="n">
        <f aca="false">IF(M$3&lt;=Inputs!$B$16,Inputs!$B$23,0)</f>
        <v>16</v>
      </c>
      <c r="N8" s="10" t="n">
        <f aca="false">IF(N$3&lt;=Inputs!$B$16,Inputs!$B$23,0)</f>
        <v>16</v>
      </c>
      <c r="O8" s="10" t="n">
        <f aca="false">IF(O$3&lt;=Inputs!$B$16,Inputs!$B$23,0)</f>
        <v>16</v>
      </c>
      <c r="P8" s="10" t="n">
        <f aca="false">IF(P$3&lt;=Inputs!$B$16,Inputs!$B$23,0)</f>
        <v>16</v>
      </c>
      <c r="Q8" s="10" t="n">
        <f aca="false">IF(Q$3&lt;=Inputs!$B$16,Inputs!$B$23,0)</f>
        <v>16</v>
      </c>
      <c r="R8" s="10" t="n">
        <f aca="false">IF(R$3&lt;=Inputs!$B$16,Inputs!$B$23,0)</f>
        <v>16</v>
      </c>
      <c r="S8" s="10" t="n">
        <f aca="false">IF(S$3&lt;=Inputs!$B$16,Inputs!$B$23,0)</f>
        <v>16</v>
      </c>
      <c r="T8" s="10" t="n">
        <f aca="false">IF(T$3&lt;=Inputs!$B$16,Inputs!$B$23,0)</f>
        <v>16</v>
      </c>
      <c r="U8" s="10" t="n">
        <f aca="false">IF(U$3&lt;=Inputs!$B$16,Inputs!$B$23,0)</f>
        <v>16</v>
      </c>
      <c r="V8" s="10" t="n">
        <f aca="false">IF(V$3&lt;=Inputs!$B$16,Inputs!$B$23,0)</f>
        <v>16</v>
      </c>
      <c r="W8" s="10" t="n">
        <f aca="false">IF(W$3&lt;=Inputs!$B$16,Inputs!$B$23,0)</f>
        <v>16</v>
      </c>
      <c r="X8" s="10" t="n">
        <f aca="false">IF(X$3&lt;=Inputs!$B$16,Inputs!$B$23,0)</f>
        <v>16</v>
      </c>
      <c r="Y8" s="10" t="n">
        <f aca="false">IF(Y$3&lt;=Inputs!$B$16,Inputs!$B$23,0)</f>
        <v>16</v>
      </c>
      <c r="Z8" s="10" t="n">
        <f aca="false">IF(Z$3&lt;=Inputs!$B$16,Inputs!$B$23,0)</f>
        <v>16</v>
      </c>
      <c r="AA8" s="10" t="n">
        <f aca="false">IF(AA$3&lt;=Inputs!$B$16,Inputs!$B$23,0)</f>
        <v>16</v>
      </c>
    </row>
    <row r="9" customFormat="false" ht="15" hidden="false" customHeight="false" outlineLevel="0" collapsed="false">
      <c r="A9" s="3" t="s">
        <v>49</v>
      </c>
      <c r="B9" s="10" t="n">
        <v>0</v>
      </c>
      <c r="C9" s="10" t="n">
        <f aca="false">B12</f>
        <v>300</v>
      </c>
      <c r="D9" s="10" t="n">
        <f aca="false">C12</f>
        <v>292.736312798898</v>
      </c>
      <c r="E9" s="10" t="n">
        <f aca="false">D12</f>
        <v>284.818893749697</v>
      </c>
      <c r="F9" s="10" t="n">
        <f aca="false">E12</f>
        <v>276.188906986068</v>
      </c>
      <c r="G9" s="10" t="n">
        <f aca="false">F12</f>
        <v>266.782221413712</v>
      </c>
      <c r="H9" s="10" t="n">
        <f aca="false">G12</f>
        <v>256.528934139844</v>
      </c>
      <c r="I9" s="10" t="n">
        <f aca="false">H12</f>
        <v>245.352851011328</v>
      </c>
      <c r="J9" s="10" t="n">
        <f aca="false">I12</f>
        <v>233.170920401245</v>
      </c>
      <c r="K9" s="10" t="n">
        <f aca="false">J12</f>
        <v>219.892616036255</v>
      </c>
      <c r="L9" s="10" t="n">
        <f aca="false">K12</f>
        <v>205.419264278416</v>
      </c>
      <c r="M9" s="10" t="n">
        <f aca="false">L12</f>
        <v>189.643310862372</v>
      </c>
      <c r="N9" s="10" t="n">
        <f aca="false">M12</f>
        <v>172.447521638883</v>
      </c>
      <c r="O9" s="10" t="n">
        <f aca="false">N12</f>
        <v>153.704111385281</v>
      </c>
      <c r="P9" s="10" t="n">
        <f aca="false">O12</f>
        <v>133.273794208854</v>
      </c>
      <c r="Q9" s="10" t="n">
        <f aca="false">P12</f>
        <v>111.004748486549</v>
      </c>
      <c r="R9" s="10" t="n">
        <f aca="false">Q12</f>
        <v>86.7314886492366</v>
      </c>
      <c r="S9" s="10" t="n">
        <f aca="false">R12</f>
        <v>60.2736354265659</v>
      </c>
      <c r="T9" s="10" t="n">
        <f aca="false">S12</f>
        <v>31.4345754138549</v>
      </c>
      <c r="U9" s="10" t="n">
        <f aca="false">T12</f>
        <v>-1.24344978758018E-013</v>
      </c>
      <c r="V9" s="10" t="n">
        <f aca="false">U12</f>
        <v>-1.24344978758018E-013</v>
      </c>
      <c r="W9" s="10" t="n">
        <f aca="false">V12</f>
        <v>-1.24344978758018E-013</v>
      </c>
      <c r="X9" s="10" t="n">
        <f aca="false">W12</f>
        <v>-1.24344978758018E-013</v>
      </c>
      <c r="Y9" s="10" t="n">
        <f aca="false">X12</f>
        <v>-1.24344978758018E-013</v>
      </c>
      <c r="Z9" s="10" t="n">
        <f aca="false">Y12</f>
        <v>-1.24344978758018E-013</v>
      </c>
      <c r="AA9" s="10" t="n">
        <f aca="false">Z12</f>
        <v>-1.24344978758018E-013</v>
      </c>
    </row>
    <row r="10" customFormat="false" ht="15" hidden="false" customHeight="false" outlineLevel="0" collapsed="false">
      <c r="A10" s="3" t="s">
        <v>50</v>
      </c>
      <c r="B10" s="10" t="n">
        <v>0</v>
      </c>
      <c r="C10" s="10" t="n">
        <f aca="false">C9*Inputs!$B$12</f>
        <v>27</v>
      </c>
      <c r="D10" s="10" t="n">
        <f aca="false">D9*Inputs!$B$12</f>
        <v>26.3462681519008</v>
      </c>
      <c r="E10" s="10" t="n">
        <f aca="false">E9*Inputs!$B$12</f>
        <v>25.6337004374727</v>
      </c>
      <c r="F10" s="10" t="n">
        <f aca="false">F9*Inputs!$B$12</f>
        <v>24.8570016287461</v>
      </c>
      <c r="G10" s="10" t="n">
        <f aca="false">G9*Inputs!$B$12</f>
        <v>24.0103999272341</v>
      </c>
      <c r="H10" s="10" t="n">
        <f aca="false">H9*Inputs!$B$12</f>
        <v>23.0876040725859</v>
      </c>
      <c r="I10" s="10" t="n">
        <f aca="false">I9*Inputs!$B$12</f>
        <v>22.0817565910195</v>
      </c>
      <c r="J10" s="10" t="n">
        <f aca="false">J9*Inputs!$B$12</f>
        <v>20.9853828361121</v>
      </c>
      <c r="K10" s="10" t="n">
        <f aca="false">K9*Inputs!$B$12</f>
        <v>19.790335443263</v>
      </c>
      <c r="L10" s="10" t="n">
        <f aca="false">L9*Inputs!$B$12</f>
        <v>18.4877337850575</v>
      </c>
      <c r="M10" s="10" t="n">
        <f aca="false">M9*Inputs!$B$12</f>
        <v>17.0678979776135</v>
      </c>
      <c r="N10" s="10" t="n">
        <f aca="false">N9*Inputs!$B$12</f>
        <v>15.5202769474995</v>
      </c>
      <c r="O10" s="10" t="n">
        <f aca="false">O9*Inputs!$B$12</f>
        <v>13.8333700246753</v>
      </c>
      <c r="P10" s="10" t="n">
        <f aca="false">P9*Inputs!$B$12</f>
        <v>11.9946414787969</v>
      </c>
      <c r="Q10" s="10" t="n">
        <f aca="false">Q9*Inputs!$B$12</f>
        <v>9.99042736378943</v>
      </c>
      <c r="R10" s="10" t="n">
        <f aca="false">R9*Inputs!$B$12</f>
        <v>7.8058339784313</v>
      </c>
      <c r="S10" s="10" t="n">
        <f aca="false">S9*Inputs!$B$12</f>
        <v>5.42462718839094</v>
      </c>
      <c r="T10" s="10" t="n">
        <f aca="false">T9*Inputs!$B$12</f>
        <v>2.82911178724694</v>
      </c>
      <c r="U10" s="10" t="n">
        <f aca="false">U9*Inputs!$B$12</f>
        <v>-1.11910480882216E-014</v>
      </c>
      <c r="V10" s="10" t="n">
        <f aca="false">V9*Inputs!$B$12</f>
        <v>-1.11910480882216E-014</v>
      </c>
      <c r="W10" s="10" t="n">
        <f aca="false">W9*Inputs!$B$12</f>
        <v>-1.11910480882216E-014</v>
      </c>
      <c r="X10" s="10" t="n">
        <f aca="false">X9*Inputs!$B$12</f>
        <v>-1.11910480882216E-014</v>
      </c>
      <c r="Y10" s="10" t="n">
        <f aca="false">Y9*Inputs!$B$12</f>
        <v>-1.11910480882216E-014</v>
      </c>
      <c r="Z10" s="10" t="n">
        <f aca="false">Z9*Inputs!$B$12</f>
        <v>-1.11910480882216E-014</v>
      </c>
      <c r="AA10" s="10" t="n">
        <f aca="false">AA9*Inputs!$B$12</f>
        <v>-1.11910480882216E-014</v>
      </c>
    </row>
    <row r="11" customFormat="false" ht="15" hidden="false" customHeight="false" outlineLevel="0" collapsed="false">
      <c r="A11" s="3" t="s">
        <v>51</v>
      </c>
      <c r="B11" s="10" t="n">
        <v>0</v>
      </c>
      <c r="C11" s="10" t="n">
        <f aca="false">IF(C$3&lt;=Inputs!$B$13,Inputs!$B$22-C10,0)</f>
        <v>7.26368720110197</v>
      </c>
      <c r="D11" s="10" t="n">
        <f aca="false">IF(D$3&lt;=Inputs!$B$13,Inputs!$B$22-D10,0)</f>
        <v>7.91741904920115</v>
      </c>
      <c r="E11" s="10" t="n">
        <f aca="false">IF(E$3&lt;=Inputs!$B$13,Inputs!$B$22-E10,0)</f>
        <v>8.62998676362926</v>
      </c>
      <c r="F11" s="10" t="n">
        <f aca="false">IF(F$3&lt;=Inputs!$B$13,Inputs!$B$22-F10,0)</f>
        <v>9.40668557235589</v>
      </c>
      <c r="G11" s="10" t="n">
        <f aca="false">IF(G$3&lt;=Inputs!$B$13,Inputs!$B$22-G10,0)</f>
        <v>10.2532872738679</v>
      </c>
      <c r="H11" s="10" t="n">
        <f aca="false">IF(H$3&lt;=Inputs!$B$13,Inputs!$B$22-H10,0)</f>
        <v>11.176083128516</v>
      </c>
      <c r="I11" s="10" t="n">
        <f aca="false">IF(I$3&lt;=Inputs!$B$13,Inputs!$B$22-I10,0)</f>
        <v>12.1819306100825</v>
      </c>
      <c r="J11" s="10" t="n">
        <f aca="false">IF(J$3&lt;=Inputs!$B$13,Inputs!$B$22-J10,0)</f>
        <v>13.2783043649899</v>
      </c>
      <c r="K11" s="10" t="n">
        <f aca="false">IF(K$3&lt;=Inputs!$B$13,Inputs!$B$22-K10,0)</f>
        <v>14.473351757839</v>
      </c>
      <c r="L11" s="10" t="n">
        <f aca="false">IF(L$3&lt;=Inputs!$B$13,Inputs!$B$22-L10,0)</f>
        <v>15.7759534160445</v>
      </c>
      <c r="M11" s="10" t="n">
        <f aca="false">IF(M$3&lt;=Inputs!$B$13,Inputs!$B$22-M10,0)</f>
        <v>17.1957892234885</v>
      </c>
      <c r="N11" s="10" t="n">
        <f aca="false">IF(N$3&lt;=Inputs!$B$13,Inputs!$B$22-N10,0)</f>
        <v>18.7434102536025</v>
      </c>
      <c r="O11" s="10" t="n">
        <f aca="false">IF(O$3&lt;=Inputs!$B$13,Inputs!$B$22-O10,0)</f>
        <v>20.4303171764267</v>
      </c>
      <c r="P11" s="10" t="n">
        <f aca="false">IF(P$3&lt;=Inputs!$B$13,Inputs!$B$22-P10,0)</f>
        <v>22.2690457223051</v>
      </c>
      <c r="Q11" s="10" t="n">
        <f aca="false">IF(Q$3&lt;=Inputs!$B$13,Inputs!$B$22-Q10,0)</f>
        <v>24.2732598373125</v>
      </c>
      <c r="R11" s="10" t="n">
        <f aca="false">IF(R$3&lt;=Inputs!$B$13,Inputs!$B$22-R10,0)</f>
        <v>26.4578532226707</v>
      </c>
      <c r="S11" s="10" t="n">
        <f aca="false">IF(S$3&lt;=Inputs!$B$13,Inputs!$B$22-S10,0)</f>
        <v>28.839060012711</v>
      </c>
      <c r="T11" s="10" t="n">
        <f aca="false">IF(T$3&lt;=Inputs!$B$13,Inputs!$B$22-T10,0)</f>
        <v>31.434575413855</v>
      </c>
      <c r="U11" s="10" t="n">
        <f aca="false">IF(U$3&lt;=Inputs!$B$13,Inputs!$B$22-U10,0)</f>
        <v>0</v>
      </c>
      <c r="V11" s="10" t="n">
        <f aca="false">IF(V$3&lt;=Inputs!$B$13,Inputs!$B$22-V10,0)</f>
        <v>0</v>
      </c>
      <c r="W11" s="10" t="n">
        <f aca="false">IF(W$3&lt;=Inputs!$B$13,Inputs!$B$22-W10,0)</f>
        <v>0</v>
      </c>
      <c r="X11" s="10" t="n">
        <f aca="false">IF(X$3&lt;=Inputs!$B$13,Inputs!$B$22-X10,0)</f>
        <v>0</v>
      </c>
      <c r="Y11" s="10" t="n">
        <f aca="false">IF(Y$3&lt;=Inputs!$B$13,Inputs!$B$22-Y10,0)</f>
        <v>0</v>
      </c>
      <c r="Z11" s="10" t="n">
        <f aca="false">IF(Z$3&lt;=Inputs!$B$13,Inputs!$B$22-Z10,0)</f>
        <v>0</v>
      </c>
      <c r="AA11" s="10" t="n">
        <f aca="false">IF(AA$3&lt;=Inputs!$B$13,Inputs!$B$22-AA10,0)</f>
        <v>0</v>
      </c>
    </row>
    <row r="12" customFormat="false" ht="15" hidden="false" customHeight="false" outlineLevel="0" collapsed="false">
      <c r="A12" s="3" t="s">
        <v>52</v>
      </c>
      <c r="B12" s="10" t="n">
        <f aca="false">Inputs!$B$20</f>
        <v>300</v>
      </c>
      <c r="C12" s="10" t="n">
        <f aca="false">C9-C11</f>
        <v>292.736312798898</v>
      </c>
      <c r="D12" s="10" t="n">
        <f aca="false">D9-D11</f>
        <v>284.818893749697</v>
      </c>
      <c r="E12" s="10" t="n">
        <f aca="false">E9-E11</f>
        <v>276.188906986068</v>
      </c>
      <c r="F12" s="10" t="n">
        <f aca="false">F9-F11</f>
        <v>266.782221413712</v>
      </c>
      <c r="G12" s="10" t="n">
        <f aca="false">G9-G11</f>
        <v>256.528934139844</v>
      </c>
      <c r="H12" s="10" t="n">
        <f aca="false">H9-H11</f>
        <v>245.352851011328</v>
      </c>
      <c r="I12" s="10" t="n">
        <f aca="false">I9-I11</f>
        <v>233.170920401245</v>
      </c>
      <c r="J12" s="10" t="n">
        <f aca="false">J9-J11</f>
        <v>219.892616036255</v>
      </c>
      <c r="K12" s="10" t="n">
        <f aca="false">K9-K11</f>
        <v>205.419264278416</v>
      </c>
      <c r="L12" s="10" t="n">
        <f aca="false">L9-L11</f>
        <v>189.643310862372</v>
      </c>
      <c r="M12" s="10" t="n">
        <f aca="false">M9-M11</f>
        <v>172.447521638883</v>
      </c>
      <c r="N12" s="10" t="n">
        <f aca="false">N9-N11</f>
        <v>153.704111385281</v>
      </c>
      <c r="O12" s="10" t="n">
        <f aca="false">O9-O11</f>
        <v>133.273794208854</v>
      </c>
      <c r="P12" s="10" t="n">
        <f aca="false">P9-P11</f>
        <v>111.004748486549</v>
      </c>
      <c r="Q12" s="10" t="n">
        <f aca="false">Q9-Q11</f>
        <v>86.7314886492366</v>
      </c>
      <c r="R12" s="10" t="n">
        <f aca="false">R9-R11</f>
        <v>60.2736354265659</v>
      </c>
      <c r="S12" s="10" t="n">
        <f aca="false">S9-S11</f>
        <v>31.4345754138549</v>
      </c>
      <c r="T12" s="10" t="n">
        <f aca="false">T9-T11</f>
        <v>-1.24344978758018E-013</v>
      </c>
      <c r="U12" s="10" t="n">
        <f aca="false">U9-U11</f>
        <v>-1.24344978758018E-013</v>
      </c>
      <c r="V12" s="10" t="n">
        <f aca="false">V9-V11</f>
        <v>-1.24344978758018E-013</v>
      </c>
      <c r="W12" s="10" t="n">
        <f aca="false">W9-W11</f>
        <v>-1.24344978758018E-013</v>
      </c>
      <c r="X12" s="10" t="n">
        <f aca="false">X9-X11</f>
        <v>-1.24344978758018E-013</v>
      </c>
      <c r="Y12" s="10" t="n">
        <f aca="false">Y9-Y11</f>
        <v>-1.24344978758018E-013</v>
      </c>
      <c r="Z12" s="10" t="n">
        <f aca="false">Z9-Z11</f>
        <v>-1.24344978758018E-013</v>
      </c>
      <c r="AA12" s="10" t="n">
        <f aca="false">AA9-AA11</f>
        <v>-1.24344978758018E-013</v>
      </c>
    </row>
    <row r="13" customFormat="false" ht="15" hidden="false" customHeight="false" outlineLevel="0" collapsed="false">
      <c r="A13" s="3" t="s">
        <v>53</v>
      </c>
      <c r="B13" s="10" t="n">
        <v>0</v>
      </c>
      <c r="C13" s="10" t="n">
        <f aca="false">C7-C8-C10</f>
        <v>5.66240000000001</v>
      </c>
      <c r="D13" s="10" t="n">
        <f aca="false">D7-D8-D10</f>
        <v>5.83281984809918</v>
      </c>
      <c r="E13" s="10" t="n">
        <f aca="false">E7-E8-E10</f>
        <v>6.05609212252729</v>
      </c>
      <c r="F13" s="10" t="n">
        <f aca="false">F7-F8-F10</f>
        <v>6.33724796845392</v>
      </c>
      <c r="G13" s="10" t="n">
        <f aca="false">G7-G8-G10</f>
        <v>6.68178613197994</v>
      </c>
      <c r="H13" s="10" t="n">
        <f aca="false">H7-H8-H10</f>
        <v>7.095715536182</v>
      </c>
      <c r="I13" s="10" t="n">
        <f aca="false">I7-I8-I10</f>
        <v>7.58560170634933</v>
      </c>
      <c r="J13" s="10" t="n">
        <f aca="false">J7-J8-J10</f>
        <v>8.15861739144724</v>
      </c>
      <c r="K13" s="10" t="n">
        <f aca="false">K7-K8-K10</f>
        <v>8.82259776009456</v>
      </c>
      <c r="L13" s="10" t="n">
        <f aca="false">L7-L8-L10</f>
        <v>9.58610058341206</v>
      </c>
      <c r="M13" s="10" t="n">
        <f aca="false">M7-M8-M10</f>
        <v>10.458471854232</v>
      </c>
      <c r="N13" s="10" t="n">
        <f aca="false">N7-N8-N10</f>
        <v>11.4499173326377</v>
      </c>
      <c r="O13" s="10" t="n">
        <f aca="false">O7-O8-O10</f>
        <v>12.5715805519229</v>
      </c>
      <c r="P13" s="10" t="n">
        <f aca="false">P7-P8-P10</f>
        <v>13.8356278671552</v>
      </c>
      <c r="Q13" s="10" t="n">
        <f aca="false">Q7-Q8-Q10</f>
        <v>15.2553411809481</v>
      </c>
      <c r="R13" s="10" t="n">
        <f aca="false">R7-R8-R10</f>
        <v>16.8452190381907</v>
      </c>
      <c r="S13" s="10" t="n">
        <f aca="false">S7-S8-S10</f>
        <v>18.6210868437674</v>
      </c>
      <c r="T13" s="10" t="n">
        <f aca="false">T7-T8-T10</f>
        <v>20.6002170251918</v>
      </c>
      <c r="U13" s="10" t="n">
        <f aca="false">U7-U8-U10</f>
        <v>22.8014600360832</v>
      </c>
      <c r="V13" s="10" t="n">
        <f aca="false">V7-V8-V10</f>
        <v>22.1616553289791</v>
      </c>
      <c r="W13" s="10" t="n">
        <f aca="false">W7-W8-W10</f>
        <v>21.5094467361682</v>
      </c>
      <c r="X13" s="10" t="n">
        <f aca="false">X7-X8-X10</f>
        <v>20.8443501752556</v>
      </c>
      <c r="Y13" s="10" t="n">
        <f aca="false">Y7-Y8-Y10</f>
        <v>20.1658648706944</v>
      </c>
      <c r="Z13" s="10" t="n">
        <f aca="false">Z7-Z8-Z10</f>
        <v>19.473472768277</v>
      </c>
      <c r="AA13" s="10" t="n">
        <f aca="false">AA7-AA8-AA10</f>
        <v>18.7666379291395</v>
      </c>
    </row>
    <row r="14" customFormat="false" ht="15" hidden="false" customHeight="false" outlineLevel="0" collapsed="false">
      <c r="A14" s="3" t="s">
        <v>54</v>
      </c>
      <c r="B14" s="10" t="n">
        <v>0</v>
      </c>
      <c r="C14" s="10" t="n">
        <f aca="false">MAX(0,C13)*Inputs!$B$15</f>
        <v>1.42522608</v>
      </c>
      <c r="D14" s="10" t="n">
        <f aca="false">MAX(0,D13)*Inputs!$B$15</f>
        <v>1.46812075576656</v>
      </c>
      <c r="E14" s="10" t="n">
        <f aca="false">MAX(0,E13)*Inputs!$B$15</f>
        <v>1.52431838724012</v>
      </c>
      <c r="F14" s="10" t="n">
        <f aca="false">MAX(0,F13)*Inputs!$B$15</f>
        <v>1.59508531365985</v>
      </c>
      <c r="G14" s="10" t="n">
        <f aca="false">MAX(0,G13)*Inputs!$B$15</f>
        <v>1.68180556941935</v>
      </c>
      <c r="H14" s="10" t="n">
        <f aca="false">MAX(0,H13)*Inputs!$B$15</f>
        <v>1.78599160045701</v>
      </c>
      <c r="I14" s="10" t="n">
        <f aca="false">MAX(0,I13)*Inputs!$B$15</f>
        <v>1.90929594948813</v>
      </c>
      <c r="J14" s="10" t="n">
        <f aca="false">MAX(0,J13)*Inputs!$B$15</f>
        <v>2.05352399742727</v>
      </c>
      <c r="K14" s="10" t="n">
        <f aca="false">MAX(0,K13)*Inputs!$B$15</f>
        <v>2.2206478562158</v>
      </c>
      <c r="L14" s="10" t="n">
        <f aca="false">MAX(0,L13)*Inputs!$B$15</f>
        <v>2.41282151684482</v>
      </c>
      <c r="M14" s="10" t="n">
        <f aca="false">MAX(0,M13)*Inputs!$B$15</f>
        <v>2.6323973657102</v>
      </c>
      <c r="N14" s="10" t="n">
        <f aca="false">MAX(0,N13)*Inputs!$B$15</f>
        <v>2.8819441926249</v>
      </c>
      <c r="O14" s="10" t="n">
        <f aca="false">MAX(0,O13)*Inputs!$B$15</f>
        <v>3.164266824919</v>
      </c>
      <c r="P14" s="10" t="n">
        <f aca="false">MAX(0,P13)*Inputs!$B$15</f>
        <v>3.48242753416297</v>
      </c>
      <c r="Q14" s="10" t="n">
        <f aca="false">MAX(0,Q13)*Inputs!$B$15</f>
        <v>3.83976937524463</v>
      </c>
      <c r="R14" s="10" t="n">
        <f aca="false">MAX(0,R13)*Inputs!$B$15</f>
        <v>4.2399416319126</v>
      </c>
      <c r="S14" s="10" t="n">
        <f aca="false">MAX(0,S13)*Inputs!$B$15</f>
        <v>4.68692755857627</v>
      </c>
      <c r="T14" s="10" t="n">
        <f aca="false">MAX(0,T13)*Inputs!$B$15</f>
        <v>5.18507462524078</v>
      </c>
      <c r="U14" s="10" t="n">
        <f aca="false">MAX(0,U13)*Inputs!$B$15</f>
        <v>5.73912749108214</v>
      </c>
      <c r="V14" s="10" t="n">
        <f aca="false">MAX(0,V13)*Inputs!$B$15</f>
        <v>5.57808864630404</v>
      </c>
      <c r="W14" s="10" t="n">
        <f aca="false">MAX(0,W13)*Inputs!$B$15</f>
        <v>5.41392774349353</v>
      </c>
      <c r="X14" s="10" t="n">
        <f aca="false">MAX(0,X13)*Inputs!$B$15</f>
        <v>5.24652293911183</v>
      </c>
      <c r="Y14" s="10" t="n">
        <f aca="false">MAX(0,Y13)*Inputs!$B$15</f>
        <v>5.07574818795377</v>
      </c>
      <c r="Z14" s="10" t="n">
        <f aca="false">MAX(0,Z13)*Inputs!$B$15</f>
        <v>4.90147309577533</v>
      </c>
      <c r="AA14" s="10" t="n">
        <f aca="false">MAX(0,AA13)*Inputs!$B$15</f>
        <v>4.72356276676441</v>
      </c>
    </row>
    <row r="15" customFormat="false" ht="15" hidden="false" customHeight="false" outlineLevel="0" collapsed="false">
      <c r="A15" s="12" t="s">
        <v>55</v>
      </c>
      <c r="B15" s="10" t="n">
        <v>0</v>
      </c>
      <c r="C15" s="10" t="n">
        <f aca="false">C7-C14</f>
        <v>47.23717392</v>
      </c>
      <c r="D15" s="10" t="n">
        <f aca="false">D7-D14</f>
        <v>46.7109672442334</v>
      </c>
      <c r="E15" s="10" t="n">
        <f aca="false">E7-E14</f>
        <v>46.1654741727599</v>
      </c>
      <c r="F15" s="10" t="n">
        <f aca="false">F7-F14</f>
        <v>45.5991642835402</v>
      </c>
      <c r="G15" s="10" t="n">
        <f aca="false">G7-G14</f>
        <v>45.0103804897946</v>
      </c>
      <c r="H15" s="10" t="n">
        <f aca="false">H7-H14</f>
        <v>44.3973280083109</v>
      </c>
      <c r="I15" s="10" t="n">
        <f aca="false">I7-I14</f>
        <v>43.7580623478807</v>
      </c>
      <c r="J15" s="10" t="n">
        <f aca="false">J7-J14</f>
        <v>43.0904762301321</v>
      </c>
      <c r="K15" s="10" t="n">
        <f aca="false">K7-K14</f>
        <v>42.3922853471417</v>
      </c>
      <c r="L15" s="10" t="n">
        <f aca="false">L7-L14</f>
        <v>41.6610128516247</v>
      </c>
      <c r="M15" s="10" t="n">
        <f aca="false">M7-M14</f>
        <v>40.8939724661353</v>
      </c>
      <c r="N15" s="10" t="n">
        <f aca="false">N7-N14</f>
        <v>40.0882500875123</v>
      </c>
      <c r="O15" s="10" t="n">
        <f aca="false">O7-O14</f>
        <v>39.2406837516792</v>
      </c>
      <c r="P15" s="10" t="n">
        <f aca="false">P7-P14</f>
        <v>38.3478418117891</v>
      </c>
      <c r="Q15" s="10" t="n">
        <f aca="false">Q7-Q14</f>
        <v>37.4059991694929</v>
      </c>
      <c r="R15" s="10" t="n">
        <f aca="false">R7-R14</f>
        <v>36.4111113847094</v>
      </c>
      <c r="S15" s="10" t="n">
        <f aca="false">S7-S14</f>
        <v>35.3587864735821</v>
      </c>
      <c r="T15" s="10" t="n">
        <f aca="false">T7-T14</f>
        <v>34.244254187198</v>
      </c>
      <c r="U15" s="10" t="n">
        <f aca="false">U7-U14</f>
        <v>33.062332545001</v>
      </c>
      <c r="V15" s="10" t="n">
        <f aca="false">V7-V14</f>
        <v>32.583566682675</v>
      </c>
      <c r="W15" s="10" t="n">
        <f aca="false">W7-W14</f>
        <v>32.0955189926747</v>
      </c>
      <c r="X15" s="10" t="n">
        <f aca="false">X7-X14</f>
        <v>31.5978272361437</v>
      </c>
      <c r="Y15" s="10" t="n">
        <f aca="false">Y7-Y14</f>
        <v>31.0901166827406</v>
      </c>
      <c r="Z15" s="10" t="n">
        <f aca="false">Z7-Z14</f>
        <v>30.5719996725017</v>
      </c>
      <c r="AA15" s="10" t="n">
        <f aca="false">AA7-AA14</f>
        <v>30.0430751623751</v>
      </c>
    </row>
    <row r="16" customFormat="false" ht="15" hidden="false" customHeight="false" outlineLevel="0" collapsed="false">
      <c r="A16" s="3" t="s">
        <v>56</v>
      </c>
      <c r="B16" s="10" t="n">
        <v>0</v>
      </c>
      <c r="C16" s="10" t="n">
        <f aca="false">C10+C11</f>
        <v>34.263687201102</v>
      </c>
      <c r="D16" s="10" t="n">
        <f aca="false">D10+D11</f>
        <v>34.263687201102</v>
      </c>
      <c r="E16" s="10" t="n">
        <f aca="false">E10+E11</f>
        <v>34.263687201102</v>
      </c>
      <c r="F16" s="10" t="n">
        <f aca="false">F10+F11</f>
        <v>34.263687201102</v>
      </c>
      <c r="G16" s="10" t="n">
        <f aca="false">G10+G11</f>
        <v>34.263687201102</v>
      </c>
      <c r="H16" s="10" t="n">
        <f aca="false">H10+H11</f>
        <v>34.263687201102</v>
      </c>
      <c r="I16" s="10" t="n">
        <f aca="false">I10+I11</f>
        <v>34.263687201102</v>
      </c>
      <c r="J16" s="10" t="n">
        <f aca="false">J10+J11</f>
        <v>34.263687201102</v>
      </c>
      <c r="K16" s="10" t="n">
        <f aca="false">K10+K11</f>
        <v>34.263687201102</v>
      </c>
      <c r="L16" s="10" t="n">
        <f aca="false">L10+L11</f>
        <v>34.263687201102</v>
      </c>
      <c r="M16" s="10" t="n">
        <f aca="false">M10+M11</f>
        <v>34.263687201102</v>
      </c>
      <c r="N16" s="10" t="n">
        <f aca="false">N10+N11</f>
        <v>34.263687201102</v>
      </c>
      <c r="O16" s="10" t="n">
        <f aca="false">O10+O11</f>
        <v>34.263687201102</v>
      </c>
      <c r="P16" s="10" t="n">
        <f aca="false">P10+P11</f>
        <v>34.263687201102</v>
      </c>
      <c r="Q16" s="10" t="n">
        <f aca="false">Q10+Q11</f>
        <v>34.263687201102</v>
      </c>
      <c r="R16" s="10" t="n">
        <f aca="false">R10+R11</f>
        <v>34.263687201102</v>
      </c>
      <c r="S16" s="10" t="n">
        <f aca="false">S10+S11</f>
        <v>34.263687201102</v>
      </c>
      <c r="T16" s="10" t="n">
        <f aca="false">T10+T11</f>
        <v>34.263687201102</v>
      </c>
      <c r="U16" s="10" t="n">
        <f aca="false">U10+U11</f>
        <v>-1.11910480882216E-014</v>
      </c>
      <c r="V16" s="10" t="n">
        <f aca="false">V10+V11</f>
        <v>-1.11910480882216E-014</v>
      </c>
      <c r="W16" s="10" t="n">
        <f aca="false">W10+W11</f>
        <v>-1.11910480882216E-014</v>
      </c>
      <c r="X16" s="10" t="n">
        <f aca="false">X10+X11</f>
        <v>-1.11910480882216E-014</v>
      </c>
      <c r="Y16" s="10" t="n">
        <f aca="false">Y10+Y11</f>
        <v>-1.11910480882216E-014</v>
      </c>
      <c r="Z16" s="10" t="n">
        <f aca="false">Z10+Z11</f>
        <v>-1.11910480882216E-014</v>
      </c>
      <c r="AA16" s="10" t="n">
        <f aca="false">AA10+AA11</f>
        <v>-1.11910480882216E-014</v>
      </c>
    </row>
    <row r="17" customFormat="false" ht="15" hidden="false" customHeight="false" outlineLevel="0" collapsed="false">
      <c r="A17" s="12" t="s">
        <v>57</v>
      </c>
      <c r="B17" s="17"/>
      <c r="C17" s="17" t="n">
        <f aca="false">IF(C16&gt;0,C15/C16,"")</f>
        <v>1.37863662024328</v>
      </c>
      <c r="D17" s="17" t="n">
        <f aca="false">IF(D16&gt;0,D15/D16,"")</f>
        <v>1.36327905896628</v>
      </c>
      <c r="E17" s="17" t="n">
        <f aca="false">IF(E16&gt;0,E15/E16,"")</f>
        <v>1.34735861618755</v>
      </c>
      <c r="F17" s="17" t="n">
        <f aca="false">IF(F16&gt;0,F15/F16,"")</f>
        <v>1.33083062590163</v>
      </c>
      <c r="G17" s="17" t="n">
        <f aca="false">IF(G16&gt;0,G15/G16,"")</f>
        <v>1.31364672533979</v>
      </c>
      <c r="H17" s="17" t="n">
        <f aca="false">IF(H16&gt;0,H15/H16,"")</f>
        <v>1.29575453300552</v>
      </c>
      <c r="I17" s="17" t="n">
        <f aca="false">IF(I16&gt;0,I15/I16,"")</f>
        <v>1.27709729811196</v>
      </c>
      <c r="J17" s="17" t="n">
        <f aca="false">IF(J16&gt;0,J15/J16,"")</f>
        <v>1.25761351886105</v>
      </c>
      <c r="K17" s="17" t="n">
        <f aca="false">IF(K16&gt;0,K15/K16,"")</f>
        <v>1.2372365267734</v>
      </c>
      <c r="L17" s="17" t="n">
        <f aca="false">IF(L16&gt;0,L15/L16,"")</f>
        <v>1.2158940340281</v>
      </c>
      <c r="M17" s="17" t="n">
        <f aca="false">IF(M16&gt;0,M15/M16,"")</f>
        <v>1.19350764049761</v>
      </c>
      <c r="N17" s="17" t="n">
        <f aca="false">IF(N16&gt;0,N15/N16,"")</f>
        <v>1.16999229686591</v>
      </c>
      <c r="O17" s="17" t="n">
        <f aca="false">IF(O16&gt;0,O15/O16,"")</f>
        <v>1.14525571989278</v>
      </c>
      <c r="P17" s="17" t="n">
        <f aca="false">IF(P16&gt;0,P15/P16,"")</f>
        <v>1.11919775553391</v>
      </c>
      <c r="Q17" s="17" t="n">
        <f aca="false">IF(Q16&gt;0,Q15/Q16,"")</f>
        <v>1.09170968524047</v>
      </c>
      <c r="R17" s="17" t="n">
        <f aca="false">IF(R16&gt;0,R15/R16,"")</f>
        <v>1.06267347034205</v>
      </c>
      <c r="S17" s="17" t="n">
        <f aca="false">IF(S16&gt;0,S15/S16,"")</f>
        <v>1.03196092895819</v>
      </c>
      <c r="T17" s="17" t="n">
        <f aca="false">IF(T16&gt;0,T15/T16,"")</f>
        <v>0.999432839385034</v>
      </c>
      <c r="U17" s="17" t="str">
        <f aca="false">IF(U16&gt;0,U15/U16,"")</f>
        <v/>
      </c>
      <c r="V17" s="17" t="str">
        <f aca="false">IF(V16&gt;0,V15/V16,"")</f>
        <v/>
      </c>
      <c r="W17" s="17" t="str">
        <f aca="false">IF(W16&gt;0,W15/W16,"")</f>
        <v/>
      </c>
      <c r="X17" s="17" t="str">
        <f aca="false">IF(X16&gt;0,X15/X16,"")</f>
        <v/>
      </c>
      <c r="Y17" s="17" t="str">
        <f aca="false">IF(Y16&gt;0,Y15/Y16,"")</f>
        <v/>
      </c>
      <c r="Z17" s="17" t="str">
        <f aca="false">IF(Z16&gt;0,Z15/Z16,"")</f>
        <v/>
      </c>
      <c r="AA17" s="17" t="str">
        <f aca="false">IF(AA16&gt;0,AA15/AA16,"")</f>
        <v/>
      </c>
    </row>
    <row r="18" customFormat="false" ht="15" hidden="false" customHeight="false" outlineLevel="0" collapsed="false">
      <c r="A18" s="3" t="s">
        <v>58</v>
      </c>
      <c r="B18" s="10" t="n">
        <f aca="false">-Inputs!$B$21</f>
        <v>-100</v>
      </c>
      <c r="C18" s="10" t="n">
        <f aca="false">C15-C16</f>
        <v>12.973486718898</v>
      </c>
      <c r="D18" s="10" t="n">
        <f aca="false">D15-D16</f>
        <v>12.4472800431315</v>
      </c>
      <c r="E18" s="10" t="n">
        <f aca="false">E15-E16</f>
        <v>11.9017869716579</v>
      </c>
      <c r="F18" s="10" t="n">
        <f aca="false">F15-F16</f>
        <v>11.3354770824382</v>
      </c>
      <c r="G18" s="10" t="n">
        <f aca="false">G15-G16</f>
        <v>10.7466932886927</v>
      </c>
      <c r="H18" s="10" t="n">
        <f aca="false">H15-H16</f>
        <v>10.133640807209</v>
      </c>
      <c r="I18" s="10" t="n">
        <f aca="false">I15-I16</f>
        <v>9.49437514677874</v>
      </c>
      <c r="J18" s="10" t="n">
        <f aca="false">J15-J16</f>
        <v>8.82678902903007</v>
      </c>
      <c r="K18" s="10" t="n">
        <f aca="false">K15-K16</f>
        <v>8.12859814603977</v>
      </c>
      <c r="L18" s="10" t="n">
        <f aca="false">L15-L16</f>
        <v>7.39732565052275</v>
      </c>
      <c r="M18" s="10" t="n">
        <f aca="false">M15-M16</f>
        <v>6.63028526503331</v>
      </c>
      <c r="N18" s="10" t="n">
        <f aca="false">N15-N16</f>
        <v>5.82456288641031</v>
      </c>
      <c r="O18" s="10" t="n">
        <f aca="false">O15-O16</f>
        <v>4.97699655057724</v>
      </c>
      <c r="P18" s="10" t="n">
        <f aca="false">P15-P16</f>
        <v>4.08415461068717</v>
      </c>
      <c r="Q18" s="10" t="n">
        <f aca="false">Q15-Q16</f>
        <v>3.14231196839091</v>
      </c>
      <c r="R18" s="10" t="n">
        <f aca="false">R15-R16</f>
        <v>2.14742418360744</v>
      </c>
      <c r="S18" s="10" t="n">
        <f aca="false">S15-S16</f>
        <v>1.09509927248014</v>
      </c>
      <c r="T18" s="10" t="n">
        <f aca="false">T15-T16</f>
        <v>-0.0194330139039991</v>
      </c>
      <c r="U18" s="10" t="n">
        <f aca="false">U15-U16</f>
        <v>33.0623325450011</v>
      </c>
      <c r="V18" s="10" t="n">
        <f aca="false">V15-V16</f>
        <v>32.5835666826751</v>
      </c>
      <c r="W18" s="10" t="n">
        <f aca="false">W15-W16</f>
        <v>32.0955189926747</v>
      </c>
      <c r="X18" s="10" t="n">
        <f aca="false">X15-X16</f>
        <v>31.5978272361437</v>
      </c>
      <c r="Y18" s="10" t="n">
        <f aca="false">Y15-Y16</f>
        <v>31.0901166827406</v>
      </c>
      <c r="Z18" s="10" t="n">
        <f aca="false">Z15-Z16</f>
        <v>30.5719996725017</v>
      </c>
      <c r="AA18" s="10" t="n">
        <f aca="false">AA15-AA16</f>
        <v>30.0430751623751</v>
      </c>
    </row>
    <row r="19" customFormat="false" ht="15" hidden="false" customHeight="false" outlineLevel="0" collapsed="false">
      <c r="A19" s="3" t="s">
        <v>59</v>
      </c>
      <c r="B19" s="10" t="n">
        <f aca="false">-Inputs!$B$19</f>
        <v>-400</v>
      </c>
      <c r="C19" s="10" t="n">
        <f aca="false">C7-MAX(0,C7-C8)*Inputs!$B$15</f>
        <v>40.44127392</v>
      </c>
      <c r="D19" s="10" t="n">
        <f aca="false">D7-MAX(0,D7-D8)*Inputs!$B$15</f>
        <v>40.0796115504</v>
      </c>
      <c r="E19" s="10" t="n">
        <f aca="false">E7-MAX(0,E7-E8)*Inputs!$B$15</f>
        <v>39.713471772648</v>
      </c>
      <c r="F19" s="10" t="n">
        <f aca="false">F7-MAX(0,F7-F8)*Inputs!$B$15</f>
        <v>39.3426569735848</v>
      </c>
      <c r="G19" s="10" t="n">
        <f aca="false">G7-MAX(0,G7-G8)*Inputs!$B$15</f>
        <v>38.9669628281098</v>
      </c>
      <c r="H19" s="10" t="n">
        <f aca="false">H7-MAX(0,H7-H8)*Inputs!$B$15</f>
        <v>38.5861780632411</v>
      </c>
      <c r="I19" s="10" t="n">
        <f aca="false">I7-MAX(0,I7-I8)*Inputs!$B$15</f>
        <v>38.2000842139211</v>
      </c>
      <c r="J19" s="10" t="n">
        <f aca="false">J7-MAX(0,J7-J8)*Inputs!$B$15</f>
        <v>37.8084553702826</v>
      </c>
      <c r="K19" s="10" t="n">
        <f aca="false">K7-MAX(0,K7-K8)*Inputs!$B$15</f>
        <v>37.4110579160725</v>
      </c>
      <c r="L19" s="10" t="n">
        <f aca="false">L7-MAX(0,L7-L8)*Inputs!$B$15</f>
        <v>37.0076502579258</v>
      </c>
      <c r="M19" s="10" t="n">
        <f aca="false">M7-MAX(0,M7-M8)*Inputs!$B$15</f>
        <v>36.59798254517</v>
      </c>
      <c r="N19" s="10" t="n">
        <f aca="false">N7-MAX(0,N7-N8)*Inputs!$B$15</f>
        <v>36.1817963798267</v>
      </c>
      <c r="O19" s="10" t="n">
        <f aca="false">O7-MAX(0,O7-O8)*Inputs!$B$15</f>
        <v>35.7588245164684</v>
      </c>
      <c r="P19" s="10" t="n">
        <f aca="false">P7-MAX(0,P7-P8)*Inputs!$B$15</f>
        <v>35.328790551576</v>
      </c>
      <c r="Q19" s="10" t="n">
        <f aca="false">Q7-MAX(0,Q7-Q8)*Inputs!$B$15</f>
        <v>34.8914086020271</v>
      </c>
      <c r="R19" s="10" t="n">
        <f aca="false">R7-MAX(0,R7-R8)*Inputs!$B$15</f>
        <v>34.4463829723383</v>
      </c>
      <c r="S19" s="10" t="n">
        <f aca="false">S7-MAX(0,S7-S8)*Inputs!$B$15</f>
        <v>33.9934078102641</v>
      </c>
      <c r="T19" s="10" t="n">
        <f aca="false">T7-MAX(0,T7-T8)*Inputs!$B$15</f>
        <v>33.5321667503479</v>
      </c>
      <c r="U19" s="10" t="n">
        <f aca="false">U7-MAX(0,U7-U8)*Inputs!$B$15</f>
        <v>33.062332545001</v>
      </c>
      <c r="V19" s="10" t="n">
        <f aca="false">V7-MAX(0,V7-V8)*Inputs!$B$15</f>
        <v>32.583566682675</v>
      </c>
      <c r="W19" s="10" t="n">
        <f aca="false">W7-MAX(0,W7-W8)*Inputs!$B$15</f>
        <v>32.0955189926747</v>
      </c>
      <c r="X19" s="10" t="n">
        <f aca="false">X7-MAX(0,X7-X8)*Inputs!$B$15</f>
        <v>31.5978272361437</v>
      </c>
      <c r="Y19" s="10" t="n">
        <f aca="false">Y7-MAX(0,Y7-Y8)*Inputs!$B$15</f>
        <v>31.0901166827406</v>
      </c>
      <c r="Z19" s="10" t="n">
        <f aca="false">Z7-MAX(0,Z7-Z8)*Inputs!$B$15</f>
        <v>30.5719996725017</v>
      </c>
      <c r="AA19" s="10" t="n">
        <f aca="false">AA7-MAX(0,AA7-AA8)*Inputs!$B$15</f>
        <v>30.0430751623751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2026-10-05T20:05:34Z</dcterms:created>
  <dc:creator>openpyxl</dc:creator>
  <dc:description/>
  <dc:language>en-US</dc:language>
  <cp:lastModifiedBy/>
  <dcterms:modified xsi:type="dcterms:W3CDTF">2026-10-05T20:05:34Z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
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Summary" sheetId="2" state="visible" r:id="rId4"/>
    <sheet name="Booking" sheetId="3" state="visible" r:id="rId5"/>
    <sheet name="Confirmations" sheetId="4" state="visible" r:id="rId6"/>
    <sheet name="Reconcili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<sst xmlns="http://schemas.openxmlformats.org/spreadsheetml/2006/main" count="1720" uniqueCount="298">
  <si>
    <t xml:space="preserve">Trade Break Reconciliation</t>
  </si>
  <si>
    <t xml:space="preserve">Booking system against counterparty confirmations. Synthetic trades.</t>
  </si>
  <si>
    <t xml:space="preserve">Notional tolerance (bp of notional)</t>
  </si>
  <si>
    <t xml:space="preserve">Aged threshold (days)</t>
  </si>
  <si>
    <t xml:space="preserve">Break type</t>
  </si>
  <si>
    <t xml:space="preserve">Owner and action</t>
  </si>
  <si>
    <t xml:space="preserve">Unconfirmed</t>
  </si>
  <si>
    <t xml:space="preserve">Confirmations team: chase counterparty</t>
  </si>
  <si>
    <t xml:space="preserve">Unbooked</t>
  </si>
  <si>
    <t xml:space="preserve">Front office: book or reject</t>
  </si>
  <si>
    <t xml:space="preserve">Counterparty</t>
  </si>
  <si>
    <t xml:space="preserve">Static data: correct legal entity</t>
  </si>
  <si>
    <t xml:space="preserve">Notional</t>
  </si>
  <si>
    <t xml:space="preserve">Middle office: amend booking</t>
  </si>
  <si>
    <t xml:space="preserve">Rate or price</t>
  </si>
  <si>
    <t xml:space="preserve">Value date</t>
  </si>
  <si>
    <t xml:space="preserve">Matched</t>
  </si>
  <si>
    <t xml:space="preserve">None</t>
  </si>
  <si>
    <t xml:space="preserve">Reconciliation summary</t>
  </si>
  <si>
    <t xml:space="preserve">All figures are formulas over the Reconciliation sheet.</t>
  </si>
  <si>
    <t xml:space="preserve">Trades compared</t>
  </si>
  <si>
    <t xml:space="preserve">Match rate</t>
  </si>
  <si>
    <t xml:space="preserve">Open breaks</t>
  </si>
  <si>
    <t xml:space="preserve">Aged breaks</t>
  </si>
  <si>
    <t xml:space="preserve">Notional affected ($)</t>
  </si>
  <si>
    <t xml:space="preserve">Breaks by type</t>
  </si>
  <si>
    <t xml:space="preserve">Trade ID</t>
  </si>
  <si>
    <t xml:space="preserve">Product</t>
  </si>
  <si>
    <t xml:space="preserve">Notional ($)</t>
  </si>
  <si>
    <t xml:space="preserve">Value date (T+n)</t>
  </si>
  <si>
    <t xml:space="preserve">Age (days)</t>
  </si>
  <si>
    <t xml:space="preserve">TR-50100</t>
  </si>
  <si>
    <t xml:space="preserve">FX forward</t>
  </si>
  <si>
    <t xml:space="preserve">Tarn Energy Trading</t>
  </si>
  <si>
    <t xml:space="preserve">TR-50101</t>
  </si>
  <si>
    <t xml:space="preserve">FX swap</t>
  </si>
  <si>
    <t xml:space="preserve">Meridian Bank</t>
  </si>
  <si>
    <t xml:space="preserve">TR-50102</t>
  </si>
  <si>
    <t xml:space="preserve">Equity option</t>
  </si>
  <si>
    <t xml:space="preserve">TR-50103</t>
  </si>
  <si>
    <t xml:space="preserve">CDS</t>
  </si>
  <si>
    <t xml:space="preserve">Solent Asset Management</t>
  </si>
  <si>
    <t xml:space="preserve">TR-50104</t>
  </si>
  <si>
    <t xml:space="preserve">Northbay Pension Fund</t>
  </si>
  <si>
    <t xml:space="preserve">TR-50105</t>
  </si>
  <si>
    <t xml:space="preserve">Commodity swap</t>
  </si>
  <si>
    <t xml:space="preserve">TR-50106</t>
  </si>
  <si>
    <t xml:space="preserve">IRS</t>
  </si>
  <si>
    <t xml:space="preserve">TR-50107</t>
  </si>
  <si>
    <t xml:space="preserve">Kestrel Macro Fund</t>
  </si>
  <si>
    <t xml:space="preserve">TR-50108</t>
  </si>
  <si>
    <t xml:space="preserve">TR-50109</t>
  </si>
  <si>
    <t xml:space="preserve">Repo</t>
  </si>
  <si>
    <t xml:space="preserve">Aldridge Capital</t>
  </si>
  <si>
    <t xml:space="preserve">TR-50110</t>
  </si>
  <si>
    <t xml:space="preserve">TR-50111</t>
  </si>
  <si>
    <t xml:space="preserve">TR-50112</t>
  </si>
  <si>
    <t xml:space="preserve">TR-50113</t>
  </si>
  <si>
    <t xml:space="preserve">TR-50114</t>
  </si>
  <si>
    <t xml:space="preserve">TR-50115</t>
  </si>
  <si>
    <t xml:space="preserve">Vale Corporate Treasury</t>
  </si>
  <si>
    <t xml:space="preserve">TR-50116</t>
  </si>
  <si>
    <t xml:space="preserve">TR-50117</t>
  </si>
  <si>
    <t xml:space="preserve">TR-50118</t>
  </si>
  <si>
    <t xml:space="preserve">TR-50119</t>
  </si>
  <si>
    <t xml:space="preserve">TR-50120</t>
  </si>
  <si>
    <t xml:space="preserve">Harbour Insurance</t>
  </si>
  <si>
    <t xml:space="preserve">TR-50121</t>
  </si>
  <si>
    <t xml:space="preserve">TR-50122</t>
  </si>
  <si>
    <t xml:space="preserve">TR-50123</t>
  </si>
  <si>
    <t xml:space="preserve">TR-50124</t>
  </si>
  <si>
    <t xml:space="preserve">TR-50125</t>
  </si>
  <si>
    <t xml:space="preserve">TR-50126</t>
  </si>
  <si>
    <t xml:space="preserve">TR-50127</t>
  </si>
  <si>
    <t xml:space="preserve">TR-50128</t>
  </si>
  <si>
    <t xml:space="preserve">TR-50129</t>
  </si>
  <si>
    <t xml:space="preserve">TR-50130</t>
  </si>
  <si>
    <t xml:space="preserve">TR-50131</t>
  </si>
  <si>
    <t xml:space="preserve">TR-50132</t>
  </si>
  <si>
    <t xml:space="preserve">TR-50133</t>
  </si>
  <si>
    <t xml:space="preserve">TR-50134</t>
  </si>
  <si>
    <t xml:space="preserve">TR-50135</t>
  </si>
  <si>
    <t xml:space="preserve">TR-50136</t>
  </si>
  <si>
    <t xml:space="preserve">TR-50137</t>
  </si>
  <si>
    <t xml:space="preserve">TR-50138</t>
  </si>
  <si>
    <t xml:space="preserve">TR-50139</t>
  </si>
  <si>
    <t xml:space="preserve">TR-50140</t>
  </si>
  <si>
    <t xml:space="preserve">TR-50141</t>
  </si>
  <si>
    <t xml:space="preserve">TR-50142</t>
  </si>
  <si>
    <t xml:space="preserve">TR-50143</t>
  </si>
  <si>
    <t xml:space="preserve">TR-50144</t>
  </si>
  <si>
    <t xml:space="preserve">TR-50145</t>
  </si>
  <si>
    <t xml:space="preserve">TR-50146</t>
  </si>
  <si>
    <t xml:space="preserve">TR-50147</t>
  </si>
  <si>
    <t xml:space="preserve">TR-50148</t>
  </si>
  <si>
    <t xml:space="preserve">TR-50149</t>
  </si>
  <si>
    <t xml:space="preserve">TR-50150</t>
  </si>
  <si>
    <t xml:space="preserve">TR-50151</t>
  </si>
  <si>
    <t xml:space="preserve">TR-50152</t>
  </si>
  <si>
    <t xml:space="preserve">TR-50153</t>
  </si>
  <si>
    <t xml:space="preserve">TR-50154</t>
  </si>
  <si>
    <t xml:space="preserve">TR-50155</t>
  </si>
  <si>
    <t xml:space="preserve">TR-50156</t>
  </si>
  <si>
    <t xml:space="preserve">TR-50157</t>
  </si>
  <si>
    <t xml:space="preserve">TR-50158</t>
  </si>
  <si>
    <t xml:space="preserve">TR-50159</t>
  </si>
  <si>
    <t xml:space="preserve">TR-50160</t>
  </si>
  <si>
    <t xml:space="preserve">TR-50161</t>
  </si>
  <si>
    <t xml:space="preserve">TR-50162</t>
  </si>
  <si>
    <t xml:space="preserve">TR-50163</t>
  </si>
  <si>
    <t xml:space="preserve">TR-50164</t>
  </si>
  <si>
    <t xml:space="preserve">TR-50165</t>
  </si>
  <si>
    <t xml:space="preserve">TR-50166</t>
  </si>
  <si>
    <t xml:space="preserve">TR-50167</t>
  </si>
  <si>
    <t xml:space="preserve">TR-50168</t>
  </si>
  <si>
    <t xml:space="preserve">TR-50169</t>
  </si>
  <si>
    <t xml:space="preserve">TR-50170</t>
  </si>
  <si>
    <t xml:space="preserve">TR-50171</t>
  </si>
  <si>
    <t xml:space="preserve">TR-50172</t>
  </si>
  <si>
    <t xml:space="preserve">TR-50173</t>
  </si>
  <si>
    <t xml:space="preserve">TR-50175</t>
  </si>
  <si>
    <t xml:space="preserve">TR-50176</t>
  </si>
  <si>
    <t xml:space="preserve">TR-50177</t>
  </si>
  <si>
    <t xml:space="preserve">TR-50178</t>
  </si>
  <si>
    <t xml:space="preserve">TR-50179</t>
  </si>
  <si>
    <t xml:space="preserve">TR-50180</t>
  </si>
  <si>
    <t xml:space="preserve">TR-50181</t>
  </si>
  <si>
    <t xml:space="preserve">TR-50182</t>
  </si>
  <si>
    <t xml:space="preserve">TR-50183</t>
  </si>
  <si>
    <t xml:space="preserve">TR-50184</t>
  </si>
  <si>
    <t xml:space="preserve">TR-50185</t>
  </si>
  <si>
    <t xml:space="preserve">TR-50186</t>
  </si>
  <si>
    <t xml:space="preserve">TR-50187</t>
  </si>
  <si>
    <t xml:space="preserve">TR-50188</t>
  </si>
  <si>
    <t xml:space="preserve">TR-50189</t>
  </si>
  <si>
    <t xml:space="preserve">TR-50190</t>
  </si>
  <si>
    <t xml:space="preserve">TR-50191</t>
  </si>
  <si>
    <t xml:space="preserve">TR-50192</t>
  </si>
  <si>
    <t xml:space="preserve">TR-50193</t>
  </si>
  <si>
    <t xml:space="preserve">TR-50195</t>
  </si>
  <si>
    <t xml:space="preserve">TR-50196</t>
  </si>
  <si>
    <t xml:space="preserve">TR-50197</t>
  </si>
  <si>
    <t xml:space="preserve">TR-50198</t>
  </si>
  <si>
    <t xml:space="preserve">TR-50199</t>
  </si>
  <si>
    <t xml:space="preserve">TR-50200</t>
  </si>
  <si>
    <t xml:space="preserve">TR-50201</t>
  </si>
  <si>
    <t xml:space="preserve">TR-50202</t>
  </si>
  <si>
    <t xml:space="preserve">TR-50203</t>
  </si>
  <si>
    <t xml:space="preserve">TR-50204</t>
  </si>
  <si>
    <t xml:space="preserve">TR-50205</t>
  </si>
  <si>
    <t xml:space="preserve">TR-50206</t>
  </si>
  <si>
    <t xml:space="preserve">TR-50207</t>
  </si>
  <si>
    <t xml:space="preserve">TR-50208</t>
  </si>
  <si>
    <t xml:space="preserve">TR-50209</t>
  </si>
  <si>
    <t xml:space="preserve">TR-50210</t>
  </si>
  <si>
    <t xml:space="preserve">TR-50211</t>
  </si>
  <si>
    <t xml:space="preserve">TR-50212</t>
  </si>
  <si>
    <t xml:space="preserve">TR-50213</t>
  </si>
  <si>
    <t xml:space="preserve">TR-50214</t>
  </si>
  <si>
    <t xml:space="preserve">TR-50215</t>
  </si>
  <si>
    <t xml:space="preserve">TR-50216</t>
  </si>
  <si>
    <t xml:space="preserve">TR-50217</t>
  </si>
  <si>
    <t xml:space="preserve">TR-50218</t>
  </si>
  <si>
    <t xml:space="preserve">TR-50219</t>
  </si>
  <si>
    <t xml:space="preserve">TR-50220</t>
  </si>
  <si>
    <t xml:space="preserve">TR-50221</t>
  </si>
  <si>
    <t xml:space="preserve">TR-50222</t>
  </si>
  <si>
    <t xml:space="preserve">TR-50223</t>
  </si>
  <si>
    <t xml:space="preserve">TR-50224</t>
  </si>
  <si>
    <t xml:space="preserve">TR-50225</t>
  </si>
  <si>
    <t xml:space="preserve">TR-50226</t>
  </si>
  <si>
    <t xml:space="preserve">TR-50227</t>
  </si>
  <si>
    <t xml:space="preserve">TR-50228</t>
  </si>
  <si>
    <t xml:space="preserve">TR-50229</t>
  </si>
  <si>
    <t xml:space="preserve">TR-50230</t>
  </si>
  <si>
    <t xml:space="preserve">TR-50231</t>
  </si>
  <si>
    <t xml:space="preserve">TR-50232</t>
  </si>
  <si>
    <t xml:space="preserve">TR-50233</t>
  </si>
  <si>
    <t xml:space="preserve">TR-50234</t>
  </si>
  <si>
    <t xml:space="preserve">TR-50235</t>
  </si>
  <si>
    <t xml:space="preserve">TR-50236</t>
  </si>
  <si>
    <t xml:space="preserve">TR-50237</t>
  </si>
  <si>
    <t xml:space="preserve">TR-50239</t>
  </si>
  <si>
    <t xml:space="preserve">TR-50240</t>
  </si>
  <si>
    <t xml:space="preserve">TR-50241</t>
  </si>
  <si>
    <t xml:space="preserve">TR-50242</t>
  </si>
  <si>
    <t xml:space="preserve">TR-50243</t>
  </si>
  <si>
    <t xml:space="preserve">TR-50244</t>
  </si>
  <si>
    <t xml:space="preserve">TR-50245</t>
  </si>
  <si>
    <t xml:space="preserve">TR-50246</t>
  </si>
  <si>
    <t xml:space="preserve">TR-50247</t>
  </si>
  <si>
    <t xml:space="preserve">TR-50248</t>
  </si>
  <si>
    <t xml:space="preserve">TR-50249</t>
  </si>
  <si>
    <t xml:space="preserve">TR-50250</t>
  </si>
  <si>
    <t xml:space="preserve">TR-50251</t>
  </si>
  <si>
    <t xml:space="preserve">TR-50252</t>
  </si>
  <si>
    <t xml:space="preserve">TR-50253</t>
  </si>
  <si>
    <t xml:space="preserve">TR-50254</t>
  </si>
  <si>
    <t xml:space="preserve">TR-50255</t>
  </si>
  <si>
    <t xml:space="preserve">TR-50256</t>
  </si>
  <si>
    <t xml:space="preserve">TR-50257</t>
  </si>
  <si>
    <t xml:space="preserve">TR-50258</t>
  </si>
  <si>
    <t xml:space="preserve">TR-50259</t>
  </si>
  <si>
    <t xml:space="preserve">TR-50260</t>
  </si>
  <si>
    <t xml:space="preserve">TR-50261</t>
  </si>
  <si>
    <t xml:space="preserve">TR-50262</t>
  </si>
  <si>
    <t xml:space="preserve">TR-50263</t>
  </si>
  <si>
    <t xml:space="preserve">TR-50264</t>
  </si>
  <si>
    <t xml:space="preserve">TR-50265</t>
  </si>
  <si>
    <t xml:space="preserve">TR-50266</t>
  </si>
  <si>
    <t xml:space="preserve">TR-50267</t>
  </si>
  <si>
    <t xml:space="preserve">TR-50268</t>
  </si>
  <si>
    <t xml:space="preserve">TR-50269</t>
  </si>
  <si>
    <t xml:space="preserve">TR-50270</t>
  </si>
  <si>
    <t xml:space="preserve">TR-50271</t>
  </si>
  <si>
    <t xml:space="preserve">TR-50272</t>
  </si>
  <si>
    <t xml:space="preserve">TR-50273</t>
  </si>
  <si>
    <t xml:space="preserve">TR-50274</t>
  </si>
  <si>
    <t xml:space="preserve">TR-50275</t>
  </si>
  <si>
    <t xml:space="preserve">TR-50276</t>
  </si>
  <si>
    <t xml:space="preserve">TR-50277</t>
  </si>
  <si>
    <t xml:space="preserve">TR-50278</t>
  </si>
  <si>
    <t xml:space="preserve">TR-50279</t>
  </si>
  <si>
    <t xml:space="preserve">TR-50280</t>
  </si>
  <si>
    <t xml:space="preserve">TR-50281</t>
  </si>
  <si>
    <t xml:space="preserve">TR-50282</t>
  </si>
  <si>
    <t xml:space="preserve">TR-50283</t>
  </si>
  <si>
    <t xml:space="preserve">TR-50284</t>
  </si>
  <si>
    <t xml:space="preserve">TR-50285</t>
  </si>
  <si>
    <t xml:space="preserve">TR-50286</t>
  </si>
  <si>
    <t xml:space="preserve">TR-50287</t>
  </si>
  <si>
    <t xml:space="preserve">TR-50288</t>
  </si>
  <si>
    <t xml:space="preserve">TR-50289</t>
  </si>
  <si>
    <t xml:space="preserve">TR-50290</t>
  </si>
  <si>
    <t xml:space="preserve">TR-50291</t>
  </si>
  <si>
    <t xml:space="preserve">TR-50292</t>
  </si>
  <si>
    <t xml:space="preserve">TR-50293</t>
  </si>
  <si>
    <t xml:space="preserve">TR-50294</t>
  </si>
  <si>
    <t xml:space="preserve">TR-50295</t>
  </si>
  <si>
    <t xml:space="preserve">TR-50296</t>
  </si>
  <si>
    <t xml:space="preserve">TR-50297</t>
  </si>
  <si>
    <t xml:space="preserve">TR-50298</t>
  </si>
  <si>
    <t xml:space="preserve">TR-50299</t>
  </si>
  <si>
    <t xml:space="preserve">TR-50300</t>
  </si>
  <si>
    <t xml:space="preserve">TR-50301</t>
  </si>
  <si>
    <t xml:space="preserve">TR-50302</t>
  </si>
  <si>
    <t xml:space="preserve">TR-50303</t>
  </si>
  <si>
    <t xml:space="preserve">TR-50304</t>
  </si>
  <si>
    <t xml:space="preserve">TR-50305</t>
  </si>
  <si>
    <t xml:space="preserve">TR-50306</t>
  </si>
  <si>
    <t xml:space="preserve">TR-50307</t>
  </si>
  <si>
    <t xml:space="preserve">TR-50308</t>
  </si>
  <si>
    <t xml:space="preserve">TR-50309</t>
  </si>
  <si>
    <t xml:space="preserve">TR-50310</t>
  </si>
  <si>
    <t xml:space="preserve">TR-50311</t>
  </si>
  <si>
    <t xml:space="preserve">TR-50312</t>
  </si>
  <si>
    <t xml:space="preserve">TR-50313</t>
  </si>
  <si>
    <t xml:space="preserve">TR-50314</t>
  </si>
  <si>
    <t xml:space="preserve">TR-50315</t>
  </si>
  <si>
    <t xml:space="preserve">TR-50316</t>
  </si>
  <si>
    <t xml:space="preserve">TR-50317</t>
  </si>
  <si>
    <t xml:space="preserve">TR-50318</t>
  </si>
  <si>
    <t xml:space="preserve">TR-50319</t>
  </si>
  <si>
    <t xml:space="preserve">TR-50320</t>
  </si>
  <si>
    <t xml:space="preserve">TR-50321</t>
  </si>
  <si>
    <t xml:space="preserve">TR-50322</t>
  </si>
  <si>
    <t xml:space="preserve">TR-50323</t>
  </si>
  <si>
    <t xml:space="preserve">TR-50324</t>
  </si>
  <si>
    <t xml:space="preserve">TR-50325</t>
  </si>
  <si>
    <t xml:space="preserve">TR-50326</t>
  </si>
  <si>
    <t xml:space="preserve">TR-50327</t>
  </si>
  <si>
    <t xml:space="preserve">TR-50328</t>
  </si>
  <si>
    <t xml:space="preserve">TR-50329</t>
  </si>
  <si>
    <t xml:space="preserve">TR-50330</t>
  </si>
  <si>
    <t xml:space="preserve">TR-50331</t>
  </si>
  <si>
    <t xml:space="preserve">TR-50332</t>
  </si>
  <si>
    <t xml:space="preserve">TR-50333</t>
  </si>
  <si>
    <t xml:space="preserve">TR-50334</t>
  </si>
  <si>
    <t xml:space="preserve">TR-50335</t>
  </si>
  <si>
    <t xml:space="preserve">TR-50336</t>
  </si>
  <si>
    <t xml:space="preserve">TR-50337</t>
  </si>
  <si>
    <t xml:space="preserve">TR-50338</t>
  </si>
  <si>
    <t xml:space="preserve">TR-50339</t>
  </si>
  <si>
    <t xml:space="preserve">TR-50174</t>
  </si>
  <si>
    <t xml:space="preserve">TR-50194</t>
  </si>
  <si>
    <t xml:space="preserve">TR-50238</t>
  </si>
  <si>
    <t xml:space="preserve">In booking</t>
  </si>
  <si>
    <t xml:space="preserve">In confirmations</t>
  </si>
  <si>
    <t xml:space="preserve">Booked counterparty</t>
  </si>
  <si>
    <t xml:space="preserve">Confirmed counterparty</t>
  </si>
  <si>
    <t xml:space="preserve">Booked notional ($)</t>
  </si>
  <si>
    <t xml:space="preserve">Confirmed notional ($)</t>
  </si>
  <si>
    <t xml:space="preserve">Booked rate</t>
  </si>
  <si>
    <t xml:space="preserve">Confirmed rate</t>
  </si>
  <si>
    <t xml:space="preserve">Booked value date</t>
  </si>
  <si>
    <t xml:space="preserve">Confirmed value date</t>
  </si>
  <si>
    <t xml:space="preserve">Status</t>
  </si>
  <si>
    <t xml:space="preserve">Aged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</si>
</sst>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\$#,##0;&quot;($&quot;#,##0\);\-"/>
    <numFmt numFmtId="168" formatCode="\$#,##0"/>
    <numFmt numFmtId="169" formatCode="0.000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216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1216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12169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412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2169"/>
      <rgbColor rgb="FF339966"/>
      <rgbColor rgb="FF003300"/>
      <rgbColor rgb="FF333300"/>
      <rgbColor rgb="FFC412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</row>
    <row r="5" customFormat="false" ht="15" hidden="false" customHeight="false" outlineLevel="0" collapsed="false">
      <c r="A5" s="0" t="s">
        <v>3</v>
      </c>
      <c r="B5" s="4" t="n">
        <v>3</v>
      </c>
    </row>
    <row r="7" customFormat="false" ht="15" hidden="false" customHeight="false" outlineLevel="0" collapsed="false">
      <c r="A7" s="5" t="s">
        <v>4</v>
      </c>
      <c r="B7" s="5" t="s">
        <v>5</v>
      </c>
    </row>
    <row r="8" customFormat="false" ht="15" hidden="false" customHeight="false" outlineLevel="0" collapsed="false">
      <c r="A8" s="3" t="s">
        <v>6</v>
      </c>
      <c r="B8" s="3" t="s">
        <v>7</v>
      </c>
    </row>
    <row r="9" customFormat="false" ht="15" hidden="false" customHeight="false" outlineLevel="0" collapsed="false">
      <c r="A9" s="3" t="s">
        <v>8</v>
      </c>
      <c r="B9" s="3" t="s">
        <v>9</v>
      </c>
    </row>
    <row r="10" customFormat="false" ht="15" hidden="false" customHeight="false" outlineLevel="0" collapsed="false">
      <c r="A10" s="3" t="s">
        <v>10</v>
      </c>
      <c r="B10" s="3" t="s">
        <v>11</v>
      </c>
    </row>
    <row r="11" customFormat="false" ht="15" hidden="false" customHeight="false" outlineLevel="0" collapsed="false">
      <c r="A11" s="3" t="s">
        <v>12</v>
      </c>
      <c r="B11" s="3" t="s">
        <v>13</v>
      </c>
    </row>
    <row r="12" customFormat="false" ht="15" hidden="false" customHeight="false" outlineLevel="0" collapsed="false">
      <c r="A12" s="3" t="s">
        <v>14</v>
      </c>
      <c r="B12" s="3" t="s">
        <v>13</v>
      </c>
    </row>
    <row r="13" customFormat="false" ht="15" hidden="false" customHeight="false" outlineLevel="0" collapsed="false">
      <c r="A13" s="3" t="s">
        <v>15</v>
      </c>
      <c r="B13" s="3" t="s">
        <v>13</v>
      </c>
    </row>
    <row r="14" customFormat="false" ht="15" hidden="false" customHeight="false" outlineLevel="0" collapsed="false">
      <c r="A14" s="3" t="s">
        <v>16</v>
      </c>
      <c r="B1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6" t="n">
        <f aca="false">COUNTA(Reconciliation!A2:A241)</f>
        <v>240</v>
      </c>
    </row>
    <row r="5" customFormat="false" ht="15" hidden="false" customHeight="false" outlineLevel="0" collapsed="false">
      <c r="A5" s="3" t="s">
        <v>16</v>
      </c>
      <c r="B5" s="6" t="n">
        <f aca="false">COUNTIF(Reconciliation!L2:L241,"Matched")</f>
        <v>223</v>
      </c>
    </row>
    <row r="6" customFormat="false" ht="15" hidden="false" customHeight="false" outlineLevel="0" collapsed="false">
      <c r="A6" s="3" t="s">
        <v>21</v>
      </c>
      <c r="B6" s="7" t="n">
        <f aca="false">IF(B4=0,0,B5/B4)</f>
        <v>0.929166666666667</v>
      </c>
    </row>
    <row r="7" customFormat="false" ht="15" hidden="false" customHeight="false" outlineLevel="0" collapsed="false">
      <c r="A7" s="3" t="s">
        <v>22</v>
      </c>
      <c r="B7" s="6" t="n">
        <f aca="false">B4-B5</f>
        <v>17</v>
      </c>
    </row>
    <row r="8" customFormat="false" ht="15" hidden="false" customHeight="false" outlineLevel="0" collapsed="false">
      <c r="A8" s="3" t="s">
        <v>23</v>
      </c>
      <c r="B8" s="6" t="n">
        <f aca="false">COUNTIF(Reconciliation!N2:N241,TRUE())</f>
        <v>5</v>
      </c>
    </row>
    <row r="9" customFormat="false" ht="15" hidden="false" customHeight="false" outlineLevel="0" collapsed="false">
      <c r="A9" s="3" t="s">
        <v>24</v>
      </c>
      <c r="B9" s="8" t="n">
        <f aca="false">SUMIFS(Reconciliation!F2:F241,Reconciliation!L2:L241,"&lt;&gt;Matched")+SUMIFS(Reconciliation!G2:G241,Reconciliation!L2:L241,"Unbooked")</f>
        <v>499000000</v>
      </c>
    </row>
    <row r="11" customFormat="false" ht="15" hidden="false" customHeight="false" outlineLevel="0" collapsed="false">
      <c r="A11" s="5" t="s">
        <v>25</v>
      </c>
    </row>
    <row r="12" customFormat="false" ht="15" hidden="false" customHeight="false" outlineLevel="0" collapsed="false">
      <c r="A12" s="3" t="s">
        <v>6</v>
      </c>
      <c r="B12" s="3" t="n">
        <f aca="false">COUNTIF(Reconciliation!L2:L241,A12)</f>
        <v>5</v>
      </c>
    </row>
    <row r="13" customFormat="false" ht="15" hidden="false" customHeight="false" outlineLevel="0" collapsed="false">
      <c r="A13" s="3" t="s">
        <v>8</v>
      </c>
      <c r="B13" s="3" t="n">
        <f aca="false">COUNTIF(Reconciliation!L2:L241,A13)</f>
        <v>3</v>
      </c>
    </row>
    <row r="14" customFormat="false" ht="15" hidden="false" customHeight="false" outlineLevel="0" collapsed="false">
      <c r="A14" s="3" t="s">
        <v>10</v>
      </c>
      <c r="B14" s="3" t="n">
        <f aca="false">COUNTIF(Reconciliation!L2:L241,A14)</f>
        <v>2</v>
      </c>
    </row>
    <row r="15" customFormat="false" ht="15" hidden="false" customHeight="false" outlineLevel="0" collapsed="false">
      <c r="A15" s="3" t="s">
        <v>12</v>
      </c>
      <c r="B15" s="3" t="n">
        <f aca="false">COUNTIF(Reconciliation!L2:L241,A15)</f>
        <v>3</v>
      </c>
    </row>
    <row r="16" customFormat="false" ht="15" hidden="false" customHeight="false" outlineLevel="0" collapsed="false">
      <c r="A16" s="3" t="s">
        <v>14</v>
      </c>
      <c r="B16" s="3" t="n">
        <f aca="false">COUNTIF(Reconciliation!L2:L241,A16)</f>
        <v>3</v>
      </c>
    </row>
    <row r="17" customFormat="false" ht="15" hidden="false" customHeight="false" outlineLevel="0" collapsed="false">
      <c r="A17" s="3" t="s">
        <v>15</v>
      </c>
      <c r="B17" s="3" t="n">
        <f aca="false">COUNTIF(Reconciliation!L2:L241,A17)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9" t="s">
        <v>26</v>
      </c>
      <c r="B1" s="9" t="s">
        <v>27</v>
      </c>
      <c r="C1" s="9" t="s">
        <v>10</v>
      </c>
      <c r="D1" s="9" t="s">
        <v>28</v>
      </c>
      <c r="E1" s="9" t="s">
        <v>14</v>
      </c>
      <c r="F1" s="9" t="s">
        <v>29</v>
      </c>
      <c r="G1" s="9" t="s">
        <v>30</v>
      </c>
    </row>
    <row r="2" customFormat="false" ht="15" hidden="false" customHeight="false" outlineLevel="0" collapsed="false">
      <c r="A2" s="3" t="s">
        <v>31</v>
      </c>
      <c r="B2" s="10" t="s">
        <v>32</v>
      </c>
      <c r="C2" s="10" t="s">
        <v>33</v>
      </c>
      <c r="D2" s="11" t="n">
        <v>28000000</v>
      </c>
      <c r="E2" s="12" t="n">
        <v>5.1415</v>
      </c>
      <c r="F2" s="10" t="n">
        <v>1</v>
      </c>
      <c r="G2" s="10" t="n">
        <v>0</v>
      </c>
    </row>
    <row r="3" customFormat="false" ht="15" hidden="false" customHeight="false" outlineLevel="0" collapsed="false">
      <c r="A3" s="3" t="s">
        <v>34</v>
      </c>
      <c r="B3" s="10" t="s">
        <v>35</v>
      </c>
      <c r="C3" s="10" t="s">
        <v>36</v>
      </c>
      <c r="D3" s="11" t="n">
        <v>19000000</v>
      </c>
      <c r="E3" s="12" t="n">
        <v>1.3863</v>
      </c>
      <c r="F3" s="10" t="n">
        <v>2</v>
      </c>
      <c r="G3" s="10" t="n">
        <v>1</v>
      </c>
    </row>
    <row r="4" customFormat="false" ht="15" hidden="false" customHeight="false" outlineLevel="0" collapsed="false">
      <c r="A4" s="3" t="s">
        <v>37</v>
      </c>
      <c r="B4" s="10" t="s">
        <v>38</v>
      </c>
      <c r="C4" s="10" t="s">
        <v>33</v>
      </c>
      <c r="D4" s="11" t="n">
        <v>25000000</v>
      </c>
      <c r="E4" s="12" t="n">
        <v>2.638</v>
      </c>
      <c r="F4" s="10" t="n">
        <v>2</v>
      </c>
      <c r="G4" s="10" t="n">
        <v>2</v>
      </c>
    </row>
    <row r="5" customFormat="false" ht="15" hidden="false" customHeight="false" outlineLevel="0" collapsed="false">
      <c r="A5" s="3" t="s">
        <v>39</v>
      </c>
      <c r="B5" s="10" t="s">
        <v>40</v>
      </c>
      <c r="C5" s="10" t="s">
        <v>41</v>
      </c>
      <c r="D5" s="11" t="n">
        <v>14000000</v>
      </c>
      <c r="E5" s="12" t="n">
        <v>6.7727</v>
      </c>
      <c r="F5" s="10" t="n">
        <v>1</v>
      </c>
      <c r="G5" s="10" t="n">
        <v>3</v>
      </c>
    </row>
    <row r="6" customFormat="false" ht="15" hidden="false" customHeight="false" outlineLevel="0" collapsed="false">
      <c r="A6" s="3" t="s">
        <v>42</v>
      </c>
      <c r="B6" s="10" t="s">
        <v>35</v>
      </c>
      <c r="C6" s="10" t="s">
        <v>43</v>
      </c>
      <c r="D6" s="11" t="n">
        <v>35000000</v>
      </c>
      <c r="E6" s="12" t="n">
        <v>3.365</v>
      </c>
      <c r="F6" s="10" t="n">
        <v>3</v>
      </c>
      <c r="G6" s="10" t="n">
        <v>1</v>
      </c>
    </row>
    <row r="7" customFormat="false" ht="15" hidden="false" customHeight="false" outlineLevel="0" collapsed="false">
      <c r="A7" s="3" t="s">
        <v>44</v>
      </c>
      <c r="B7" s="10" t="s">
        <v>45</v>
      </c>
      <c r="C7" s="10" t="s">
        <v>36</v>
      </c>
      <c r="D7" s="11" t="n">
        <v>38000000</v>
      </c>
      <c r="E7" s="12" t="n">
        <v>2.6629</v>
      </c>
      <c r="F7" s="10" t="n">
        <v>2</v>
      </c>
      <c r="G7" s="10" t="n">
        <v>3</v>
      </c>
    </row>
    <row r="8" customFormat="false" ht="15" hidden="false" customHeight="false" outlineLevel="0" collapsed="false">
      <c r="A8" s="3" t="s">
        <v>46</v>
      </c>
      <c r="B8" s="10" t="s">
        <v>47</v>
      </c>
      <c r="C8" s="10" t="s">
        <v>36</v>
      </c>
      <c r="D8" s="11" t="n">
        <v>50000000</v>
      </c>
      <c r="E8" s="12" t="n">
        <v>4.2661</v>
      </c>
      <c r="F8" s="10" t="n">
        <v>1</v>
      </c>
      <c r="G8" s="10" t="n">
        <v>5</v>
      </c>
    </row>
    <row r="9" customFormat="false" ht="15" hidden="false" customHeight="false" outlineLevel="0" collapsed="false">
      <c r="A9" s="3" t="s">
        <v>48</v>
      </c>
      <c r="B9" s="10" t="s">
        <v>45</v>
      </c>
      <c r="C9" s="10" t="s">
        <v>49</v>
      </c>
      <c r="D9" s="11" t="n">
        <v>37000000</v>
      </c>
      <c r="E9" s="12" t="n">
        <v>4.6811</v>
      </c>
      <c r="F9" s="10" t="n">
        <v>3</v>
      </c>
      <c r="G9" s="10" t="n">
        <v>1</v>
      </c>
    </row>
    <row r="10" customFormat="false" ht="15" hidden="false" customHeight="false" outlineLevel="0" collapsed="false">
      <c r="A10" s="3" t="s">
        <v>50</v>
      </c>
      <c r="B10" s="10" t="s">
        <v>32</v>
      </c>
      <c r="C10" s="10" t="s">
        <v>36</v>
      </c>
      <c r="D10" s="11" t="n">
        <v>19000000</v>
      </c>
      <c r="E10" s="12" t="n">
        <v>3.0089</v>
      </c>
      <c r="F10" s="10" t="n">
        <v>3</v>
      </c>
      <c r="G10" s="10" t="n">
        <v>0</v>
      </c>
    </row>
    <row r="11" customFormat="false" ht="15" hidden="false" customHeight="false" outlineLevel="0" collapsed="false">
      <c r="A11" s="3" t="s">
        <v>51</v>
      </c>
      <c r="B11" s="10" t="s">
        <v>52</v>
      </c>
      <c r="C11" s="10" t="s">
        <v>53</v>
      </c>
      <c r="D11" s="11" t="n">
        <v>50000000</v>
      </c>
      <c r="E11" s="12" t="n">
        <v>5.9933</v>
      </c>
      <c r="F11" s="10" t="n">
        <v>1</v>
      </c>
      <c r="G11" s="10" t="n">
        <v>4</v>
      </c>
    </row>
    <row r="12" customFormat="false" ht="15" hidden="false" customHeight="false" outlineLevel="0" collapsed="false">
      <c r="A12" s="3" t="s">
        <v>54</v>
      </c>
      <c r="B12" s="10" t="s">
        <v>47</v>
      </c>
      <c r="C12" s="10" t="s">
        <v>53</v>
      </c>
      <c r="D12" s="11" t="n">
        <v>21000000</v>
      </c>
      <c r="E12" s="12" t="n">
        <v>5.1547</v>
      </c>
      <c r="F12" s="10" t="n">
        <v>2</v>
      </c>
      <c r="G12" s="10" t="n">
        <v>3</v>
      </c>
    </row>
    <row r="13" customFormat="false" ht="15" hidden="false" customHeight="false" outlineLevel="0" collapsed="false">
      <c r="A13" s="3" t="s">
        <v>55</v>
      </c>
      <c r="B13" s="10" t="s">
        <v>47</v>
      </c>
      <c r="C13" s="10" t="s">
        <v>53</v>
      </c>
      <c r="D13" s="11" t="n">
        <v>43000000</v>
      </c>
      <c r="E13" s="12" t="n">
        <v>3.1705</v>
      </c>
      <c r="F13" s="10" t="n">
        <v>3</v>
      </c>
      <c r="G13" s="10" t="n">
        <v>6</v>
      </c>
    </row>
    <row r="14" customFormat="false" ht="15" hidden="false" customHeight="false" outlineLevel="0" collapsed="false">
      <c r="A14" s="3" t="s">
        <v>56</v>
      </c>
      <c r="B14" s="10" t="s">
        <v>40</v>
      </c>
      <c r="C14" s="10" t="s">
        <v>49</v>
      </c>
      <c r="D14" s="11" t="n">
        <v>3000000</v>
      </c>
      <c r="E14" s="12" t="n">
        <v>6.0342</v>
      </c>
      <c r="F14" s="10" t="n">
        <v>2</v>
      </c>
      <c r="G14" s="10" t="n">
        <v>1</v>
      </c>
    </row>
    <row r="15" customFormat="false" ht="15" hidden="false" customHeight="false" outlineLevel="0" collapsed="false">
      <c r="A15" s="3" t="s">
        <v>57</v>
      </c>
      <c r="B15" s="10" t="s">
        <v>35</v>
      </c>
      <c r="C15" s="10" t="s">
        <v>53</v>
      </c>
      <c r="D15" s="11" t="n">
        <v>27000000</v>
      </c>
      <c r="E15" s="12" t="n">
        <v>2.9032</v>
      </c>
      <c r="F15" s="10" t="n">
        <v>2</v>
      </c>
      <c r="G15" s="10" t="n">
        <v>0</v>
      </c>
    </row>
    <row r="16" customFormat="false" ht="15" hidden="false" customHeight="false" outlineLevel="0" collapsed="false">
      <c r="A16" s="3" t="s">
        <v>58</v>
      </c>
      <c r="B16" s="10" t="s">
        <v>45</v>
      </c>
      <c r="C16" s="10" t="s">
        <v>43</v>
      </c>
      <c r="D16" s="11" t="n">
        <v>29000000</v>
      </c>
      <c r="E16" s="12" t="n">
        <v>4.0004</v>
      </c>
      <c r="F16" s="10" t="n">
        <v>3</v>
      </c>
      <c r="G16" s="10" t="n">
        <v>4</v>
      </c>
    </row>
    <row r="17" customFormat="false" ht="15" hidden="false" customHeight="false" outlineLevel="0" collapsed="false">
      <c r="A17" s="3" t="s">
        <v>59</v>
      </c>
      <c r="B17" s="10" t="s">
        <v>47</v>
      </c>
      <c r="C17" s="10" t="s">
        <v>60</v>
      </c>
      <c r="D17" s="11" t="n">
        <v>22000000</v>
      </c>
      <c r="E17" s="12" t="n">
        <v>4.2445</v>
      </c>
      <c r="F17" s="10" t="n">
        <v>3</v>
      </c>
      <c r="G17" s="10" t="n">
        <v>5</v>
      </c>
    </row>
    <row r="18" customFormat="false" ht="15" hidden="false" customHeight="false" outlineLevel="0" collapsed="false">
      <c r="A18" s="3" t="s">
        <v>61</v>
      </c>
      <c r="B18" s="10" t="s">
        <v>52</v>
      </c>
      <c r="C18" s="10" t="s">
        <v>49</v>
      </c>
      <c r="D18" s="11" t="n">
        <v>47000000</v>
      </c>
      <c r="E18" s="12" t="n">
        <v>5.5008</v>
      </c>
      <c r="F18" s="10" t="n">
        <v>3</v>
      </c>
      <c r="G18" s="10" t="n">
        <v>4</v>
      </c>
    </row>
    <row r="19" customFormat="false" ht="15" hidden="false" customHeight="false" outlineLevel="0" collapsed="false">
      <c r="A19" s="3" t="s">
        <v>62</v>
      </c>
      <c r="B19" s="10" t="s">
        <v>35</v>
      </c>
      <c r="C19" s="10" t="s">
        <v>60</v>
      </c>
      <c r="D19" s="11" t="n">
        <v>34000000</v>
      </c>
      <c r="E19" s="12" t="n">
        <v>1.9199</v>
      </c>
      <c r="F19" s="10" t="n">
        <v>2</v>
      </c>
      <c r="G19" s="10" t="n">
        <v>2</v>
      </c>
    </row>
    <row r="20" customFormat="false" ht="15" hidden="false" customHeight="false" outlineLevel="0" collapsed="false">
      <c r="A20" s="3" t="s">
        <v>63</v>
      </c>
      <c r="B20" s="10" t="s">
        <v>47</v>
      </c>
      <c r="C20" s="10" t="s">
        <v>60</v>
      </c>
      <c r="D20" s="11" t="n">
        <v>24000000</v>
      </c>
      <c r="E20" s="12" t="n">
        <v>3.3326</v>
      </c>
      <c r="F20" s="10" t="n">
        <v>3</v>
      </c>
      <c r="G20" s="10" t="n">
        <v>8</v>
      </c>
    </row>
    <row r="21" customFormat="false" ht="15" hidden="false" customHeight="false" outlineLevel="0" collapsed="false">
      <c r="A21" s="3" t="s">
        <v>64</v>
      </c>
      <c r="B21" s="10" t="s">
        <v>35</v>
      </c>
      <c r="C21" s="10" t="s">
        <v>43</v>
      </c>
      <c r="D21" s="11" t="n">
        <v>14000000</v>
      </c>
      <c r="E21" s="12" t="n">
        <v>2.0824</v>
      </c>
      <c r="F21" s="10" t="n">
        <v>1</v>
      </c>
      <c r="G21" s="10" t="n">
        <v>3</v>
      </c>
    </row>
    <row r="22" customFormat="false" ht="15" hidden="false" customHeight="false" outlineLevel="0" collapsed="false">
      <c r="A22" s="3" t="s">
        <v>65</v>
      </c>
      <c r="B22" s="10" t="s">
        <v>52</v>
      </c>
      <c r="C22" s="10" t="s">
        <v>66</v>
      </c>
      <c r="D22" s="11" t="n">
        <v>22000000</v>
      </c>
      <c r="E22" s="12" t="n">
        <v>3.9825</v>
      </c>
      <c r="F22" s="10" t="n">
        <v>1</v>
      </c>
      <c r="G22" s="10" t="n">
        <v>4</v>
      </c>
    </row>
    <row r="23" customFormat="false" ht="15" hidden="false" customHeight="false" outlineLevel="0" collapsed="false">
      <c r="A23" s="3" t="s">
        <v>67</v>
      </c>
      <c r="B23" s="10" t="s">
        <v>35</v>
      </c>
      <c r="C23" s="10" t="s">
        <v>53</v>
      </c>
      <c r="D23" s="11" t="n">
        <v>5000000</v>
      </c>
      <c r="E23" s="12" t="n">
        <v>1.3644</v>
      </c>
      <c r="F23" s="10" t="n">
        <v>2</v>
      </c>
      <c r="G23" s="10" t="n">
        <v>4</v>
      </c>
    </row>
    <row r="24" customFormat="false" ht="15" hidden="false" customHeight="false" outlineLevel="0" collapsed="false">
      <c r="A24" s="3" t="s">
        <v>68</v>
      </c>
      <c r="B24" s="10" t="s">
        <v>38</v>
      </c>
      <c r="C24" s="10" t="s">
        <v>49</v>
      </c>
      <c r="D24" s="11" t="n">
        <v>44000000</v>
      </c>
      <c r="E24" s="12" t="n">
        <v>4.302</v>
      </c>
      <c r="F24" s="10" t="n">
        <v>3</v>
      </c>
      <c r="G24" s="10" t="n">
        <v>0</v>
      </c>
    </row>
    <row r="25" customFormat="false" ht="15" hidden="false" customHeight="false" outlineLevel="0" collapsed="false">
      <c r="A25" s="3" t="s">
        <v>69</v>
      </c>
      <c r="B25" s="10" t="s">
        <v>47</v>
      </c>
      <c r="C25" s="10" t="s">
        <v>41</v>
      </c>
      <c r="D25" s="11" t="n">
        <v>4000000</v>
      </c>
      <c r="E25" s="12" t="n">
        <v>4.9301</v>
      </c>
      <c r="F25" s="10" t="n">
        <v>3</v>
      </c>
      <c r="G25" s="10" t="n">
        <v>1</v>
      </c>
    </row>
    <row r="26" customFormat="false" ht="15" hidden="false" customHeight="false" outlineLevel="0" collapsed="false">
      <c r="A26" s="3" t="s">
        <v>70</v>
      </c>
      <c r="B26" s="10" t="s">
        <v>38</v>
      </c>
      <c r="C26" s="10" t="s">
        <v>66</v>
      </c>
      <c r="D26" s="11" t="n">
        <v>37000000</v>
      </c>
      <c r="E26" s="12" t="n">
        <v>4.1378</v>
      </c>
      <c r="F26" s="10" t="n">
        <v>3</v>
      </c>
      <c r="G26" s="10" t="n">
        <v>5</v>
      </c>
    </row>
    <row r="27" customFormat="false" ht="15" hidden="false" customHeight="false" outlineLevel="0" collapsed="false">
      <c r="A27" s="3" t="s">
        <v>71</v>
      </c>
      <c r="B27" s="10" t="s">
        <v>38</v>
      </c>
      <c r="C27" s="10" t="s">
        <v>60</v>
      </c>
      <c r="D27" s="11" t="n">
        <v>14000000</v>
      </c>
      <c r="E27" s="12" t="n">
        <v>2.3667</v>
      </c>
      <c r="F27" s="10" t="n">
        <v>2</v>
      </c>
      <c r="G27" s="10" t="n">
        <v>4</v>
      </c>
    </row>
    <row r="28" customFormat="false" ht="15" hidden="false" customHeight="false" outlineLevel="0" collapsed="false">
      <c r="A28" s="3" t="s">
        <v>72</v>
      </c>
      <c r="B28" s="10" t="s">
        <v>52</v>
      </c>
      <c r="C28" s="10" t="s">
        <v>33</v>
      </c>
      <c r="D28" s="11" t="n">
        <v>36000000</v>
      </c>
      <c r="E28" s="12" t="n">
        <v>6.932</v>
      </c>
      <c r="F28" s="10" t="n">
        <v>1</v>
      </c>
      <c r="G28" s="10" t="n">
        <v>0</v>
      </c>
    </row>
    <row r="29" customFormat="false" ht="15" hidden="false" customHeight="false" outlineLevel="0" collapsed="false">
      <c r="A29" s="3" t="s">
        <v>73</v>
      </c>
      <c r="B29" s="10" t="s">
        <v>52</v>
      </c>
      <c r="C29" s="10" t="s">
        <v>66</v>
      </c>
      <c r="D29" s="11" t="n">
        <v>18000000</v>
      </c>
      <c r="E29" s="12" t="n">
        <v>4.1162</v>
      </c>
      <c r="F29" s="10" t="n">
        <v>1</v>
      </c>
      <c r="G29" s="10" t="n">
        <v>0</v>
      </c>
    </row>
    <row r="30" customFormat="false" ht="15" hidden="false" customHeight="false" outlineLevel="0" collapsed="false">
      <c r="A30" s="3" t="s">
        <v>74</v>
      </c>
      <c r="B30" s="10" t="s">
        <v>38</v>
      </c>
      <c r="C30" s="10" t="s">
        <v>53</v>
      </c>
      <c r="D30" s="11" t="n">
        <v>39000000</v>
      </c>
      <c r="E30" s="12" t="n">
        <v>1.6411</v>
      </c>
      <c r="F30" s="10" t="n">
        <v>2</v>
      </c>
      <c r="G30" s="10" t="n">
        <v>3</v>
      </c>
    </row>
    <row r="31" customFormat="false" ht="15" hidden="false" customHeight="false" outlineLevel="0" collapsed="false">
      <c r="A31" s="3" t="s">
        <v>75</v>
      </c>
      <c r="B31" s="10" t="s">
        <v>32</v>
      </c>
      <c r="C31" s="10" t="s">
        <v>66</v>
      </c>
      <c r="D31" s="11" t="n">
        <v>33000000</v>
      </c>
      <c r="E31" s="12" t="n">
        <v>5.4733</v>
      </c>
      <c r="F31" s="10" t="n">
        <v>2</v>
      </c>
      <c r="G31" s="10" t="n">
        <v>1</v>
      </c>
    </row>
    <row r="32" customFormat="false" ht="15" hidden="false" customHeight="false" outlineLevel="0" collapsed="false">
      <c r="A32" s="3" t="s">
        <v>76</v>
      </c>
      <c r="B32" s="10" t="s">
        <v>35</v>
      </c>
      <c r="C32" s="10" t="s">
        <v>43</v>
      </c>
      <c r="D32" s="11" t="n">
        <v>13000000</v>
      </c>
      <c r="E32" s="12" t="n">
        <v>1.8974</v>
      </c>
      <c r="F32" s="10" t="n">
        <v>2</v>
      </c>
      <c r="G32" s="10" t="n">
        <v>0</v>
      </c>
    </row>
    <row r="33" customFormat="false" ht="15" hidden="false" customHeight="false" outlineLevel="0" collapsed="false">
      <c r="A33" s="3" t="s">
        <v>77</v>
      </c>
      <c r="B33" s="10" t="s">
        <v>38</v>
      </c>
      <c r="C33" s="10" t="s">
        <v>66</v>
      </c>
      <c r="D33" s="11" t="n">
        <v>3000000</v>
      </c>
      <c r="E33" s="12" t="n">
        <v>6.1571</v>
      </c>
      <c r="F33" s="10" t="n">
        <v>1</v>
      </c>
      <c r="G33" s="10" t="n">
        <v>6</v>
      </c>
    </row>
    <row r="34" customFormat="false" ht="15" hidden="false" customHeight="false" outlineLevel="0" collapsed="false">
      <c r="A34" s="3" t="s">
        <v>78</v>
      </c>
      <c r="B34" s="10" t="s">
        <v>52</v>
      </c>
      <c r="C34" s="10" t="s">
        <v>36</v>
      </c>
      <c r="D34" s="11" t="n">
        <v>50000000</v>
      </c>
      <c r="E34" s="12" t="n">
        <v>3.1719</v>
      </c>
      <c r="F34" s="10" t="n">
        <v>1</v>
      </c>
      <c r="G34" s="10" t="n">
        <v>1</v>
      </c>
    </row>
    <row r="35" customFormat="false" ht="15" hidden="false" customHeight="false" outlineLevel="0" collapsed="false">
      <c r="A35" s="3" t="s">
        <v>79</v>
      </c>
      <c r="B35" s="10" t="s">
        <v>52</v>
      </c>
      <c r="C35" s="10" t="s">
        <v>49</v>
      </c>
      <c r="D35" s="11" t="n">
        <v>13000000</v>
      </c>
      <c r="E35" s="12" t="n">
        <v>6.3033</v>
      </c>
      <c r="F35" s="10" t="n">
        <v>3</v>
      </c>
      <c r="G35" s="10" t="n">
        <v>1</v>
      </c>
    </row>
    <row r="36" customFormat="false" ht="15" hidden="false" customHeight="false" outlineLevel="0" collapsed="false">
      <c r="A36" s="3" t="s">
        <v>80</v>
      </c>
      <c r="B36" s="10" t="s">
        <v>45</v>
      </c>
      <c r="C36" s="10" t="s">
        <v>49</v>
      </c>
      <c r="D36" s="11" t="n">
        <v>43000000</v>
      </c>
      <c r="E36" s="12" t="n">
        <v>3.8572</v>
      </c>
      <c r="F36" s="10" t="n">
        <v>2</v>
      </c>
      <c r="G36" s="10" t="n">
        <v>2</v>
      </c>
    </row>
    <row r="37" customFormat="false" ht="15" hidden="false" customHeight="false" outlineLevel="0" collapsed="false">
      <c r="A37" s="3" t="s">
        <v>81</v>
      </c>
      <c r="B37" s="10" t="s">
        <v>47</v>
      </c>
      <c r="C37" s="10" t="s">
        <v>36</v>
      </c>
      <c r="D37" s="11" t="n">
        <v>31000000</v>
      </c>
      <c r="E37" s="12" t="n">
        <v>6.7247</v>
      </c>
      <c r="F37" s="10" t="n">
        <v>3</v>
      </c>
      <c r="G37" s="10" t="n">
        <v>6</v>
      </c>
    </row>
    <row r="38" customFormat="false" ht="15" hidden="false" customHeight="false" outlineLevel="0" collapsed="false">
      <c r="A38" s="3" t="s">
        <v>82</v>
      </c>
      <c r="B38" s="10" t="s">
        <v>35</v>
      </c>
      <c r="C38" s="10" t="s">
        <v>33</v>
      </c>
      <c r="D38" s="11" t="n">
        <v>23000000</v>
      </c>
      <c r="E38" s="12" t="n">
        <v>6.2612</v>
      </c>
      <c r="F38" s="10" t="n">
        <v>3</v>
      </c>
      <c r="G38" s="10" t="n">
        <v>1</v>
      </c>
    </row>
    <row r="39" customFormat="false" ht="15" hidden="false" customHeight="false" outlineLevel="0" collapsed="false">
      <c r="A39" s="3" t="s">
        <v>83</v>
      </c>
      <c r="B39" s="10" t="s">
        <v>38</v>
      </c>
      <c r="C39" s="10" t="s">
        <v>66</v>
      </c>
      <c r="D39" s="11" t="n">
        <v>6000000</v>
      </c>
      <c r="E39" s="12" t="n">
        <v>1.2977</v>
      </c>
      <c r="F39" s="10" t="n">
        <v>3</v>
      </c>
      <c r="G39" s="10" t="n">
        <v>0</v>
      </c>
    </row>
    <row r="40" customFormat="false" ht="15" hidden="false" customHeight="false" outlineLevel="0" collapsed="false">
      <c r="A40" s="3" t="s">
        <v>84</v>
      </c>
      <c r="B40" s="10" t="s">
        <v>38</v>
      </c>
      <c r="C40" s="10" t="s">
        <v>66</v>
      </c>
      <c r="D40" s="11" t="n">
        <v>14000000</v>
      </c>
      <c r="E40" s="12" t="n">
        <v>3.2934</v>
      </c>
      <c r="F40" s="10" t="n">
        <v>3</v>
      </c>
      <c r="G40" s="10" t="n">
        <v>1</v>
      </c>
    </row>
    <row r="41" customFormat="false" ht="15" hidden="false" customHeight="false" outlineLevel="0" collapsed="false">
      <c r="A41" s="3" t="s">
        <v>85</v>
      </c>
      <c r="B41" s="10" t="s">
        <v>45</v>
      </c>
      <c r="C41" s="10" t="s">
        <v>66</v>
      </c>
      <c r="D41" s="11" t="n">
        <v>44000000</v>
      </c>
      <c r="E41" s="12" t="n">
        <v>5.6286</v>
      </c>
      <c r="F41" s="10" t="n">
        <v>3</v>
      </c>
      <c r="G41" s="10" t="n">
        <v>5</v>
      </c>
    </row>
    <row r="42" customFormat="false" ht="15" hidden="false" customHeight="false" outlineLevel="0" collapsed="false">
      <c r="A42" s="3" t="s">
        <v>86</v>
      </c>
      <c r="B42" s="10" t="s">
        <v>35</v>
      </c>
      <c r="C42" s="10" t="s">
        <v>41</v>
      </c>
      <c r="D42" s="11" t="n">
        <v>27000000</v>
      </c>
      <c r="E42" s="12" t="n">
        <v>5.8707</v>
      </c>
      <c r="F42" s="10" t="n">
        <v>2</v>
      </c>
      <c r="G42" s="10" t="n">
        <v>7</v>
      </c>
    </row>
    <row r="43" customFormat="false" ht="15" hidden="false" customHeight="false" outlineLevel="0" collapsed="false">
      <c r="A43" s="3" t="s">
        <v>87</v>
      </c>
      <c r="B43" s="10" t="s">
        <v>38</v>
      </c>
      <c r="C43" s="10" t="s">
        <v>36</v>
      </c>
      <c r="D43" s="11" t="n">
        <v>12000000</v>
      </c>
      <c r="E43" s="12" t="n">
        <v>1.3562</v>
      </c>
      <c r="F43" s="10" t="n">
        <v>1</v>
      </c>
      <c r="G43" s="10" t="n">
        <v>1</v>
      </c>
    </row>
    <row r="44" customFormat="false" ht="15" hidden="false" customHeight="false" outlineLevel="0" collapsed="false">
      <c r="A44" s="3" t="s">
        <v>88</v>
      </c>
      <c r="B44" s="10" t="s">
        <v>35</v>
      </c>
      <c r="C44" s="10" t="s">
        <v>53</v>
      </c>
      <c r="D44" s="11" t="n">
        <v>44000000</v>
      </c>
      <c r="E44" s="12" t="n">
        <v>6.7102</v>
      </c>
      <c r="F44" s="10" t="n">
        <v>1</v>
      </c>
      <c r="G44" s="10" t="n">
        <v>0</v>
      </c>
    </row>
    <row r="45" customFormat="false" ht="15" hidden="false" customHeight="false" outlineLevel="0" collapsed="false">
      <c r="A45" s="3" t="s">
        <v>89</v>
      </c>
      <c r="B45" s="10" t="s">
        <v>38</v>
      </c>
      <c r="C45" s="10" t="s">
        <v>33</v>
      </c>
      <c r="D45" s="11" t="n">
        <v>40000000</v>
      </c>
      <c r="E45" s="12" t="n">
        <v>1.7958</v>
      </c>
      <c r="F45" s="10" t="n">
        <v>1</v>
      </c>
      <c r="G45" s="10" t="n">
        <v>5</v>
      </c>
    </row>
    <row r="46" customFormat="false" ht="15" hidden="false" customHeight="false" outlineLevel="0" collapsed="false">
      <c r="A46" s="3" t="s">
        <v>90</v>
      </c>
      <c r="B46" s="10" t="s">
        <v>38</v>
      </c>
      <c r="C46" s="10" t="s">
        <v>33</v>
      </c>
      <c r="D46" s="11" t="n">
        <v>18000000</v>
      </c>
      <c r="E46" s="12" t="n">
        <v>4.2197</v>
      </c>
      <c r="F46" s="10" t="n">
        <v>3</v>
      </c>
      <c r="G46" s="10" t="n">
        <v>4</v>
      </c>
    </row>
    <row r="47" customFormat="false" ht="15" hidden="false" customHeight="false" outlineLevel="0" collapsed="false">
      <c r="A47" s="3" t="s">
        <v>91</v>
      </c>
      <c r="B47" s="10" t="s">
        <v>38</v>
      </c>
      <c r="C47" s="10" t="s">
        <v>36</v>
      </c>
      <c r="D47" s="11" t="n">
        <v>18000000</v>
      </c>
      <c r="E47" s="12" t="n">
        <v>6.4547</v>
      </c>
      <c r="F47" s="10" t="n">
        <v>1</v>
      </c>
      <c r="G47" s="10" t="n">
        <v>8</v>
      </c>
    </row>
    <row r="48" customFormat="false" ht="15" hidden="false" customHeight="false" outlineLevel="0" collapsed="false">
      <c r="A48" s="3" t="s">
        <v>92</v>
      </c>
      <c r="B48" s="10" t="s">
        <v>38</v>
      </c>
      <c r="C48" s="10" t="s">
        <v>43</v>
      </c>
      <c r="D48" s="11" t="n">
        <v>43000000</v>
      </c>
      <c r="E48" s="12" t="n">
        <v>2.5548</v>
      </c>
      <c r="F48" s="10" t="n">
        <v>3</v>
      </c>
      <c r="G48" s="10" t="n">
        <v>4</v>
      </c>
    </row>
    <row r="49" customFormat="false" ht="15" hidden="false" customHeight="false" outlineLevel="0" collapsed="false">
      <c r="A49" s="3" t="s">
        <v>93</v>
      </c>
      <c r="B49" s="10" t="s">
        <v>45</v>
      </c>
      <c r="C49" s="10" t="s">
        <v>53</v>
      </c>
      <c r="D49" s="11" t="n">
        <v>9000000</v>
      </c>
      <c r="E49" s="12" t="n">
        <v>3.4625</v>
      </c>
      <c r="F49" s="10" t="n">
        <v>2</v>
      </c>
      <c r="G49" s="10" t="n">
        <v>0</v>
      </c>
    </row>
    <row r="50" customFormat="false" ht="15" hidden="false" customHeight="false" outlineLevel="0" collapsed="false">
      <c r="A50" s="3" t="s">
        <v>94</v>
      </c>
      <c r="B50" s="10" t="s">
        <v>32</v>
      </c>
      <c r="C50" s="10" t="s">
        <v>60</v>
      </c>
      <c r="D50" s="11" t="n">
        <v>36000000</v>
      </c>
      <c r="E50" s="12" t="n">
        <v>6.763</v>
      </c>
      <c r="F50" s="10" t="n">
        <v>3</v>
      </c>
      <c r="G50" s="10" t="n">
        <v>6</v>
      </c>
    </row>
    <row r="51" customFormat="false" ht="15" hidden="false" customHeight="false" outlineLevel="0" collapsed="false">
      <c r="A51" s="3" t="s">
        <v>95</v>
      </c>
      <c r="B51" s="10" t="s">
        <v>47</v>
      </c>
      <c r="C51" s="10" t="s">
        <v>49</v>
      </c>
      <c r="D51" s="11" t="n">
        <v>33000000</v>
      </c>
      <c r="E51" s="12" t="n">
        <v>6.9085</v>
      </c>
      <c r="F51" s="10" t="n">
        <v>3</v>
      </c>
      <c r="G51" s="10" t="n">
        <v>0</v>
      </c>
    </row>
    <row r="52" customFormat="false" ht="15" hidden="false" customHeight="false" outlineLevel="0" collapsed="false">
      <c r="A52" s="3" t="s">
        <v>96</v>
      </c>
      <c r="B52" s="10" t="s">
        <v>38</v>
      </c>
      <c r="C52" s="10" t="s">
        <v>33</v>
      </c>
      <c r="D52" s="11" t="n">
        <v>36000000</v>
      </c>
      <c r="E52" s="12" t="n">
        <v>1.3375</v>
      </c>
      <c r="F52" s="10" t="n">
        <v>1</v>
      </c>
      <c r="G52" s="10" t="n">
        <v>0</v>
      </c>
    </row>
    <row r="53" customFormat="false" ht="15" hidden="false" customHeight="false" outlineLevel="0" collapsed="false">
      <c r="A53" s="3" t="s">
        <v>97</v>
      </c>
      <c r="B53" s="10" t="s">
        <v>38</v>
      </c>
      <c r="C53" s="10" t="s">
        <v>43</v>
      </c>
      <c r="D53" s="11" t="n">
        <v>18000000</v>
      </c>
      <c r="E53" s="12" t="n">
        <v>3.6273</v>
      </c>
      <c r="F53" s="10" t="n">
        <v>2</v>
      </c>
      <c r="G53" s="10" t="n">
        <v>0</v>
      </c>
    </row>
    <row r="54" customFormat="false" ht="15" hidden="false" customHeight="false" outlineLevel="0" collapsed="false">
      <c r="A54" s="3" t="s">
        <v>98</v>
      </c>
      <c r="B54" s="10" t="s">
        <v>32</v>
      </c>
      <c r="C54" s="10" t="s">
        <v>33</v>
      </c>
      <c r="D54" s="11" t="n">
        <v>34000000</v>
      </c>
      <c r="E54" s="12" t="n">
        <v>3.4991</v>
      </c>
      <c r="F54" s="10" t="n">
        <v>2</v>
      </c>
      <c r="G54" s="10" t="n">
        <v>0</v>
      </c>
    </row>
    <row r="55" customFormat="false" ht="15" hidden="false" customHeight="false" outlineLevel="0" collapsed="false">
      <c r="A55" s="3" t="s">
        <v>99</v>
      </c>
      <c r="B55" s="10" t="s">
        <v>45</v>
      </c>
      <c r="C55" s="10" t="s">
        <v>53</v>
      </c>
      <c r="D55" s="11" t="n">
        <v>37000000</v>
      </c>
      <c r="E55" s="12" t="n">
        <v>4.2527</v>
      </c>
      <c r="F55" s="10" t="n">
        <v>1</v>
      </c>
      <c r="G55" s="10" t="n">
        <v>0</v>
      </c>
    </row>
    <row r="56" customFormat="false" ht="15" hidden="false" customHeight="false" outlineLevel="0" collapsed="false">
      <c r="A56" s="3" t="s">
        <v>100</v>
      </c>
      <c r="B56" s="10" t="s">
        <v>32</v>
      </c>
      <c r="C56" s="10" t="s">
        <v>33</v>
      </c>
      <c r="D56" s="11" t="n">
        <v>24000000</v>
      </c>
      <c r="E56" s="12" t="n">
        <v>3.5208</v>
      </c>
      <c r="F56" s="10" t="n">
        <v>3</v>
      </c>
      <c r="G56" s="10" t="n">
        <v>1</v>
      </c>
    </row>
    <row r="57" customFormat="false" ht="15" hidden="false" customHeight="false" outlineLevel="0" collapsed="false">
      <c r="A57" s="3" t="s">
        <v>101</v>
      </c>
      <c r="B57" s="10" t="s">
        <v>47</v>
      </c>
      <c r="C57" s="10" t="s">
        <v>60</v>
      </c>
      <c r="D57" s="11" t="n">
        <v>15000000</v>
      </c>
      <c r="E57" s="12" t="n">
        <v>2.575</v>
      </c>
      <c r="F57" s="10" t="n">
        <v>1</v>
      </c>
      <c r="G57" s="10" t="n">
        <v>0</v>
      </c>
    </row>
    <row r="58" customFormat="false" ht="15" hidden="false" customHeight="false" outlineLevel="0" collapsed="false">
      <c r="A58" s="3" t="s">
        <v>102</v>
      </c>
      <c r="B58" s="10" t="s">
        <v>38</v>
      </c>
      <c r="C58" s="10" t="s">
        <v>36</v>
      </c>
      <c r="D58" s="11" t="n">
        <v>19000000</v>
      </c>
      <c r="E58" s="12" t="n">
        <v>1.2118</v>
      </c>
      <c r="F58" s="10" t="n">
        <v>1</v>
      </c>
      <c r="G58" s="10" t="n">
        <v>6</v>
      </c>
    </row>
    <row r="59" customFormat="false" ht="15" hidden="false" customHeight="false" outlineLevel="0" collapsed="false">
      <c r="A59" s="3" t="s">
        <v>103</v>
      </c>
      <c r="B59" s="10" t="s">
        <v>32</v>
      </c>
      <c r="C59" s="10" t="s">
        <v>36</v>
      </c>
      <c r="D59" s="11" t="n">
        <v>9000000</v>
      </c>
      <c r="E59" s="12" t="n">
        <v>1.8104</v>
      </c>
      <c r="F59" s="10" t="n">
        <v>3</v>
      </c>
      <c r="G59" s="10" t="n">
        <v>0</v>
      </c>
    </row>
    <row r="60" customFormat="false" ht="15" hidden="false" customHeight="false" outlineLevel="0" collapsed="false">
      <c r="A60" s="3" t="s">
        <v>104</v>
      </c>
      <c r="B60" s="10" t="s">
        <v>45</v>
      </c>
      <c r="C60" s="10" t="s">
        <v>33</v>
      </c>
      <c r="D60" s="11" t="n">
        <v>43000000</v>
      </c>
      <c r="E60" s="12" t="n">
        <v>2.6772</v>
      </c>
      <c r="F60" s="10" t="n">
        <v>2</v>
      </c>
      <c r="G60" s="10" t="n">
        <v>3</v>
      </c>
    </row>
    <row r="61" customFormat="false" ht="15" hidden="false" customHeight="false" outlineLevel="0" collapsed="false">
      <c r="A61" s="3" t="s">
        <v>105</v>
      </c>
      <c r="B61" s="10" t="s">
        <v>52</v>
      </c>
      <c r="C61" s="10" t="s">
        <v>43</v>
      </c>
      <c r="D61" s="11" t="n">
        <v>40000000</v>
      </c>
      <c r="E61" s="12" t="n">
        <v>2.075</v>
      </c>
      <c r="F61" s="10" t="n">
        <v>3</v>
      </c>
      <c r="G61" s="10" t="n">
        <v>2</v>
      </c>
    </row>
    <row r="62" customFormat="false" ht="15" hidden="false" customHeight="false" outlineLevel="0" collapsed="false">
      <c r="A62" s="3" t="s">
        <v>106</v>
      </c>
      <c r="B62" s="10" t="s">
        <v>52</v>
      </c>
      <c r="C62" s="10" t="s">
        <v>41</v>
      </c>
      <c r="D62" s="11" t="n">
        <v>26000000</v>
      </c>
      <c r="E62" s="12" t="n">
        <v>4.0794</v>
      </c>
      <c r="F62" s="10" t="n">
        <v>2</v>
      </c>
      <c r="G62" s="10" t="n">
        <v>3</v>
      </c>
    </row>
    <row r="63" customFormat="false" ht="15" hidden="false" customHeight="false" outlineLevel="0" collapsed="false">
      <c r="A63" s="3" t="s">
        <v>107</v>
      </c>
      <c r="B63" s="10" t="s">
        <v>35</v>
      </c>
      <c r="C63" s="10" t="s">
        <v>33</v>
      </c>
      <c r="D63" s="11" t="n">
        <v>47000000</v>
      </c>
      <c r="E63" s="12" t="n">
        <v>4.9336</v>
      </c>
      <c r="F63" s="10" t="n">
        <v>1</v>
      </c>
      <c r="G63" s="10" t="n">
        <v>8</v>
      </c>
    </row>
    <row r="64" customFormat="false" ht="15" hidden="false" customHeight="false" outlineLevel="0" collapsed="false">
      <c r="A64" s="3" t="s">
        <v>108</v>
      </c>
      <c r="B64" s="10" t="s">
        <v>47</v>
      </c>
      <c r="C64" s="10" t="s">
        <v>53</v>
      </c>
      <c r="D64" s="11" t="n">
        <v>20000000</v>
      </c>
      <c r="E64" s="12" t="n">
        <v>4.5436</v>
      </c>
      <c r="F64" s="10" t="n">
        <v>3</v>
      </c>
      <c r="G64" s="10" t="n">
        <v>1</v>
      </c>
    </row>
    <row r="65" customFormat="false" ht="15" hidden="false" customHeight="false" outlineLevel="0" collapsed="false">
      <c r="A65" s="3" t="s">
        <v>109</v>
      </c>
      <c r="B65" s="10" t="s">
        <v>45</v>
      </c>
      <c r="C65" s="10" t="s">
        <v>53</v>
      </c>
      <c r="D65" s="11" t="n">
        <v>48000000</v>
      </c>
      <c r="E65" s="12" t="n">
        <v>6.0138</v>
      </c>
      <c r="F65" s="10" t="n">
        <v>1</v>
      </c>
      <c r="G65" s="10" t="n">
        <v>6</v>
      </c>
    </row>
    <row r="66" customFormat="false" ht="15" hidden="false" customHeight="false" outlineLevel="0" collapsed="false">
      <c r="A66" s="3" t="s">
        <v>110</v>
      </c>
      <c r="B66" s="10" t="s">
        <v>47</v>
      </c>
      <c r="C66" s="10" t="s">
        <v>49</v>
      </c>
      <c r="D66" s="11" t="n">
        <v>32000000</v>
      </c>
      <c r="E66" s="12" t="n">
        <v>2.6061</v>
      </c>
      <c r="F66" s="10" t="n">
        <v>3</v>
      </c>
      <c r="G66" s="10" t="n">
        <v>0</v>
      </c>
    </row>
    <row r="67" customFormat="false" ht="15" hidden="false" customHeight="false" outlineLevel="0" collapsed="false">
      <c r="A67" s="3" t="s">
        <v>111</v>
      </c>
      <c r="B67" s="10" t="s">
        <v>52</v>
      </c>
      <c r="C67" s="10" t="s">
        <v>49</v>
      </c>
      <c r="D67" s="11" t="n">
        <v>34000000</v>
      </c>
      <c r="E67" s="12" t="n">
        <v>6.2125</v>
      </c>
      <c r="F67" s="10" t="n">
        <v>1</v>
      </c>
      <c r="G67" s="10" t="n">
        <v>0</v>
      </c>
    </row>
    <row r="68" customFormat="false" ht="15" hidden="false" customHeight="false" outlineLevel="0" collapsed="false">
      <c r="A68" s="3" t="s">
        <v>112</v>
      </c>
      <c r="B68" s="10" t="s">
        <v>38</v>
      </c>
      <c r="C68" s="10" t="s">
        <v>49</v>
      </c>
      <c r="D68" s="11" t="n">
        <v>31000000</v>
      </c>
      <c r="E68" s="12" t="n">
        <v>3.849</v>
      </c>
      <c r="F68" s="10" t="n">
        <v>1</v>
      </c>
      <c r="G68" s="10" t="n">
        <v>1</v>
      </c>
    </row>
    <row r="69" customFormat="false" ht="15" hidden="false" customHeight="false" outlineLevel="0" collapsed="false">
      <c r="A69" s="3" t="s">
        <v>113</v>
      </c>
      <c r="B69" s="10" t="s">
        <v>35</v>
      </c>
      <c r="C69" s="10" t="s">
        <v>53</v>
      </c>
      <c r="D69" s="11" t="n">
        <v>23000000</v>
      </c>
      <c r="E69" s="12" t="n">
        <v>1.1741</v>
      </c>
      <c r="F69" s="10" t="n">
        <v>2</v>
      </c>
      <c r="G69" s="10" t="n">
        <v>3</v>
      </c>
    </row>
    <row r="70" customFormat="false" ht="15" hidden="false" customHeight="false" outlineLevel="0" collapsed="false">
      <c r="A70" s="3" t="s">
        <v>114</v>
      </c>
      <c r="B70" s="10" t="s">
        <v>35</v>
      </c>
      <c r="C70" s="10" t="s">
        <v>49</v>
      </c>
      <c r="D70" s="11" t="n">
        <v>31000000</v>
      </c>
      <c r="E70" s="12" t="n">
        <v>5.5988</v>
      </c>
      <c r="F70" s="10" t="n">
        <v>2</v>
      </c>
      <c r="G70" s="10" t="n">
        <v>4</v>
      </c>
    </row>
    <row r="71" customFormat="false" ht="15" hidden="false" customHeight="false" outlineLevel="0" collapsed="false">
      <c r="A71" s="3" t="s">
        <v>115</v>
      </c>
      <c r="B71" s="10" t="s">
        <v>52</v>
      </c>
      <c r="C71" s="10" t="s">
        <v>41</v>
      </c>
      <c r="D71" s="11" t="n">
        <v>27000000</v>
      </c>
      <c r="E71" s="12" t="n">
        <v>5.9101</v>
      </c>
      <c r="F71" s="10" t="n">
        <v>3</v>
      </c>
      <c r="G71" s="10" t="n">
        <v>0</v>
      </c>
    </row>
    <row r="72" customFormat="false" ht="15" hidden="false" customHeight="false" outlineLevel="0" collapsed="false">
      <c r="A72" s="3" t="s">
        <v>116</v>
      </c>
      <c r="B72" s="10" t="s">
        <v>45</v>
      </c>
      <c r="C72" s="10" t="s">
        <v>36</v>
      </c>
      <c r="D72" s="11" t="n">
        <v>33000000</v>
      </c>
      <c r="E72" s="12" t="n">
        <v>4.2554</v>
      </c>
      <c r="F72" s="10" t="n">
        <v>2</v>
      </c>
      <c r="G72" s="10" t="n">
        <v>0</v>
      </c>
    </row>
    <row r="73" customFormat="false" ht="15" hidden="false" customHeight="false" outlineLevel="0" collapsed="false">
      <c r="A73" s="3" t="s">
        <v>117</v>
      </c>
      <c r="B73" s="10" t="s">
        <v>47</v>
      </c>
      <c r="C73" s="10" t="s">
        <v>36</v>
      </c>
      <c r="D73" s="11" t="n">
        <v>33000000</v>
      </c>
      <c r="E73" s="12" t="n">
        <v>3.4022</v>
      </c>
      <c r="F73" s="10" t="n">
        <v>3</v>
      </c>
      <c r="G73" s="10" t="n">
        <v>5</v>
      </c>
    </row>
    <row r="74" customFormat="false" ht="15" hidden="false" customHeight="false" outlineLevel="0" collapsed="false">
      <c r="A74" s="3" t="s">
        <v>118</v>
      </c>
      <c r="B74" s="10" t="s">
        <v>40</v>
      </c>
      <c r="C74" s="10" t="s">
        <v>60</v>
      </c>
      <c r="D74" s="11" t="n">
        <v>33000000</v>
      </c>
      <c r="E74" s="12" t="n">
        <v>1.905</v>
      </c>
      <c r="F74" s="10" t="n">
        <v>1</v>
      </c>
      <c r="G74" s="10" t="n">
        <v>0</v>
      </c>
    </row>
    <row r="75" customFormat="false" ht="15" hidden="false" customHeight="false" outlineLevel="0" collapsed="false">
      <c r="A75" s="3" t="s">
        <v>119</v>
      </c>
      <c r="B75" s="10" t="s">
        <v>40</v>
      </c>
      <c r="C75" s="10" t="s">
        <v>53</v>
      </c>
      <c r="D75" s="11" t="n">
        <v>2000000</v>
      </c>
      <c r="E75" s="12" t="n">
        <v>2.6436</v>
      </c>
      <c r="F75" s="10" t="n">
        <v>2</v>
      </c>
      <c r="G75" s="10" t="n">
        <v>6</v>
      </c>
    </row>
    <row r="76" customFormat="false" ht="15" hidden="false" customHeight="false" outlineLevel="0" collapsed="false">
      <c r="A76" s="3" t="s">
        <v>120</v>
      </c>
      <c r="B76" s="10" t="s">
        <v>32</v>
      </c>
      <c r="C76" s="10" t="s">
        <v>41</v>
      </c>
      <c r="D76" s="11" t="n">
        <v>41000000</v>
      </c>
      <c r="E76" s="12" t="n">
        <v>1.9648</v>
      </c>
      <c r="F76" s="10" t="n">
        <v>1</v>
      </c>
      <c r="G76" s="10" t="n">
        <v>0</v>
      </c>
    </row>
    <row r="77" customFormat="false" ht="15" hidden="false" customHeight="false" outlineLevel="0" collapsed="false">
      <c r="A77" s="3" t="s">
        <v>121</v>
      </c>
      <c r="B77" s="10" t="s">
        <v>52</v>
      </c>
      <c r="C77" s="10" t="s">
        <v>41</v>
      </c>
      <c r="D77" s="11" t="n">
        <v>39000000</v>
      </c>
      <c r="E77" s="12" t="n">
        <v>3.5917</v>
      </c>
      <c r="F77" s="10" t="n">
        <v>2</v>
      </c>
      <c r="G77" s="10" t="n">
        <v>7</v>
      </c>
    </row>
    <row r="78" customFormat="false" ht="15" hidden="false" customHeight="false" outlineLevel="0" collapsed="false">
      <c r="A78" s="3" t="s">
        <v>122</v>
      </c>
      <c r="B78" s="10" t="s">
        <v>40</v>
      </c>
      <c r="C78" s="10" t="s">
        <v>53</v>
      </c>
      <c r="D78" s="11" t="n">
        <v>26000000</v>
      </c>
      <c r="E78" s="12" t="n">
        <v>2.3707</v>
      </c>
      <c r="F78" s="10" t="n">
        <v>1</v>
      </c>
      <c r="G78" s="10" t="n">
        <v>0</v>
      </c>
    </row>
    <row r="79" customFormat="false" ht="15" hidden="false" customHeight="false" outlineLevel="0" collapsed="false">
      <c r="A79" s="3" t="s">
        <v>123</v>
      </c>
      <c r="B79" s="10" t="s">
        <v>32</v>
      </c>
      <c r="C79" s="10" t="s">
        <v>53</v>
      </c>
      <c r="D79" s="11" t="n">
        <v>12000000</v>
      </c>
      <c r="E79" s="12" t="n">
        <v>3.2223</v>
      </c>
      <c r="F79" s="10" t="n">
        <v>3</v>
      </c>
      <c r="G79" s="10" t="n">
        <v>5</v>
      </c>
    </row>
    <row r="80" customFormat="false" ht="15" hidden="false" customHeight="false" outlineLevel="0" collapsed="false">
      <c r="A80" s="3" t="s">
        <v>124</v>
      </c>
      <c r="B80" s="10" t="s">
        <v>38</v>
      </c>
      <c r="C80" s="10" t="s">
        <v>41</v>
      </c>
      <c r="D80" s="11" t="n">
        <v>43000000</v>
      </c>
      <c r="E80" s="12" t="n">
        <v>2.921</v>
      </c>
      <c r="F80" s="10" t="n">
        <v>1</v>
      </c>
      <c r="G80" s="10" t="n">
        <v>9</v>
      </c>
    </row>
    <row r="81" customFormat="false" ht="15" hidden="false" customHeight="false" outlineLevel="0" collapsed="false">
      <c r="A81" s="3" t="s">
        <v>125</v>
      </c>
      <c r="B81" s="10" t="s">
        <v>40</v>
      </c>
      <c r="C81" s="10" t="s">
        <v>41</v>
      </c>
      <c r="D81" s="11" t="n">
        <v>17000000</v>
      </c>
      <c r="E81" s="12" t="n">
        <v>4.5503</v>
      </c>
      <c r="F81" s="10" t="n">
        <v>2</v>
      </c>
      <c r="G81" s="10" t="n">
        <v>0</v>
      </c>
    </row>
    <row r="82" customFormat="false" ht="15" hidden="false" customHeight="false" outlineLevel="0" collapsed="false">
      <c r="A82" s="3" t="s">
        <v>126</v>
      </c>
      <c r="B82" s="10" t="s">
        <v>35</v>
      </c>
      <c r="C82" s="10" t="s">
        <v>53</v>
      </c>
      <c r="D82" s="11" t="n">
        <v>6000000</v>
      </c>
      <c r="E82" s="12" t="n">
        <v>5.3124</v>
      </c>
      <c r="F82" s="10" t="n">
        <v>2</v>
      </c>
      <c r="G82" s="10" t="n">
        <v>4</v>
      </c>
    </row>
    <row r="83" customFormat="false" ht="15" hidden="false" customHeight="false" outlineLevel="0" collapsed="false">
      <c r="A83" s="3" t="s">
        <v>127</v>
      </c>
      <c r="B83" s="10" t="s">
        <v>40</v>
      </c>
      <c r="C83" s="10" t="s">
        <v>60</v>
      </c>
      <c r="D83" s="11" t="n">
        <v>23000000</v>
      </c>
      <c r="E83" s="12" t="n">
        <v>3.207</v>
      </c>
      <c r="F83" s="10" t="n">
        <v>3</v>
      </c>
      <c r="G83" s="10" t="n">
        <v>1</v>
      </c>
    </row>
    <row r="84" customFormat="false" ht="15" hidden="false" customHeight="false" outlineLevel="0" collapsed="false">
      <c r="A84" s="3" t="s">
        <v>128</v>
      </c>
      <c r="B84" s="10" t="s">
        <v>52</v>
      </c>
      <c r="C84" s="10" t="s">
        <v>43</v>
      </c>
      <c r="D84" s="11" t="n">
        <v>27000000</v>
      </c>
      <c r="E84" s="12" t="n">
        <v>5.6317</v>
      </c>
      <c r="F84" s="10" t="n">
        <v>1</v>
      </c>
      <c r="G84" s="10" t="n">
        <v>0</v>
      </c>
    </row>
    <row r="85" customFormat="false" ht="15" hidden="false" customHeight="false" outlineLevel="0" collapsed="false">
      <c r="A85" s="3" t="s">
        <v>129</v>
      </c>
      <c r="B85" s="10" t="s">
        <v>40</v>
      </c>
      <c r="C85" s="10" t="s">
        <v>41</v>
      </c>
      <c r="D85" s="11" t="n">
        <v>8000000</v>
      </c>
      <c r="E85" s="12" t="n">
        <v>3.3624</v>
      </c>
      <c r="F85" s="10" t="n">
        <v>3</v>
      </c>
      <c r="G85" s="10" t="n">
        <v>4</v>
      </c>
    </row>
    <row r="86" customFormat="false" ht="15" hidden="false" customHeight="false" outlineLevel="0" collapsed="false">
      <c r="A86" s="3" t="s">
        <v>130</v>
      </c>
      <c r="B86" s="10" t="s">
        <v>32</v>
      </c>
      <c r="C86" s="10" t="s">
        <v>33</v>
      </c>
      <c r="D86" s="11" t="n">
        <v>23000000</v>
      </c>
      <c r="E86" s="12" t="n">
        <v>4.0669</v>
      </c>
      <c r="F86" s="10" t="n">
        <v>3</v>
      </c>
      <c r="G86" s="10" t="n">
        <v>3</v>
      </c>
    </row>
    <row r="87" customFormat="false" ht="15" hidden="false" customHeight="false" outlineLevel="0" collapsed="false">
      <c r="A87" s="3" t="s">
        <v>131</v>
      </c>
      <c r="B87" s="10" t="s">
        <v>32</v>
      </c>
      <c r="C87" s="10" t="s">
        <v>60</v>
      </c>
      <c r="D87" s="11" t="n">
        <v>26000000</v>
      </c>
      <c r="E87" s="12" t="n">
        <v>6.4889</v>
      </c>
      <c r="F87" s="10" t="n">
        <v>1</v>
      </c>
      <c r="G87" s="10" t="n">
        <v>0</v>
      </c>
    </row>
    <row r="88" customFormat="false" ht="15" hidden="false" customHeight="false" outlineLevel="0" collapsed="false">
      <c r="A88" s="3" t="s">
        <v>132</v>
      </c>
      <c r="B88" s="10" t="s">
        <v>45</v>
      </c>
      <c r="C88" s="10" t="s">
        <v>60</v>
      </c>
      <c r="D88" s="11" t="n">
        <v>39000000</v>
      </c>
      <c r="E88" s="12" t="n">
        <v>5.4765</v>
      </c>
      <c r="F88" s="10" t="n">
        <v>2</v>
      </c>
      <c r="G88" s="10" t="n">
        <v>6</v>
      </c>
    </row>
    <row r="89" customFormat="false" ht="15" hidden="false" customHeight="false" outlineLevel="0" collapsed="false">
      <c r="A89" s="3" t="s">
        <v>133</v>
      </c>
      <c r="B89" s="10" t="s">
        <v>52</v>
      </c>
      <c r="C89" s="10" t="s">
        <v>36</v>
      </c>
      <c r="D89" s="11" t="n">
        <v>49000000</v>
      </c>
      <c r="E89" s="12" t="n">
        <v>5.0662</v>
      </c>
      <c r="F89" s="10" t="n">
        <v>2</v>
      </c>
      <c r="G89" s="10" t="n">
        <v>0</v>
      </c>
    </row>
    <row r="90" customFormat="false" ht="15" hidden="false" customHeight="false" outlineLevel="0" collapsed="false">
      <c r="A90" s="3" t="s">
        <v>134</v>
      </c>
      <c r="B90" s="10" t="s">
        <v>38</v>
      </c>
      <c r="C90" s="10" t="s">
        <v>66</v>
      </c>
      <c r="D90" s="11" t="n">
        <v>22000000</v>
      </c>
      <c r="E90" s="12" t="n">
        <v>6.3769</v>
      </c>
      <c r="F90" s="10" t="n">
        <v>3</v>
      </c>
      <c r="G90" s="10" t="n">
        <v>0</v>
      </c>
    </row>
    <row r="91" customFormat="false" ht="15" hidden="false" customHeight="false" outlineLevel="0" collapsed="false">
      <c r="A91" s="3" t="s">
        <v>135</v>
      </c>
      <c r="B91" s="10" t="s">
        <v>47</v>
      </c>
      <c r="C91" s="10" t="s">
        <v>49</v>
      </c>
      <c r="D91" s="11" t="n">
        <v>19000000</v>
      </c>
      <c r="E91" s="12" t="n">
        <v>6.795</v>
      </c>
      <c r="F91" s="10" t="n">
        <v>2</v>
      </c>
      <c r="G91" s="10" t="n">
        <v>3</v>
      </c>
    </row>
    <row r="92" customFormat="false" ht="15" hidden="false" customHeight="false" outlineLevel="0" collapsed="false">
      <c r="A92" s="3" t="s">
        <v>136</v>
      </c>
      <c r="B92" s="10" t="s">
        <v>40</v>
      </c>
      <c r="C92" s="10" t="s">
        <v>49</v>
      </c>
      <c r="D92" s="11" t="n">
        <v>2000000</v>
      </c>
      <c r="E92" s="12" t="n">
        <v>1.8309</v>
      </c>
      <c r="F92" s="10" t="n">
        <v>2</v>
      </c>
      <c r="G92" s="10" t="n">
        <v>0</v>
      </c>
    </row>
    <row r="93" customFormat="false" ht="15" hidden="false" customHeight="false" outlineLevel="0" collapsed="false">
      <c r="A93" s="3" t="s">
        <v>137</v>
      </c>
      <c r="B93" s="10" t="s">
        <v>38</v>
      </c>
      <c r="C93" s="10" t="s">
        <v>43</v>
      </c>
      <c r="D93" s="11" t="n">
        <v>4000000</v>
      </c>
      <c r="E93" s="12" t="n">
        <v>6.5892</v>
      </c>
      <c r="F93" s="10" t="n">
        <v>3</v>
      </c>
      <c r="G93" s="10" t="n">
        <v>1</v>
      </c>
    </row>
    <row r="94" customFormat="false" ht="15" hidden="false" customHeight="false" outlineLevel="0" collapsed="false">
      <c r="A94" s="3" t="s">
        <v>138</v>
      </c>
      <c r="B94" s="10" t="s">
        <v>38</v>
      </c>
      <c r="C94" s="10" t="s">
        <v>43</v>
      </c>
      <c r="D94" s="11" t="n">
        <v>24000000</v>
      </c>
      <c r="E94" s="12" t="n">
        <v>3.8013</v>
      </c>
      <c r="F94" s="10" t="n">
        <v>2</v>
      </c>
      <c r="G94" s="10" t="n">
        <v>0</v>
      </c>
    </row>
    <row r="95" customFormat="false" ht="15" hidden="false" customHeight="false" outlineLevel="0" collapsed="false">
      <c r="A95" s="3" t="s">
        <v>139</v>
      </c>
      <c r="B95" s="10" t="s">
        <v>40</v>
      </c>
      <c r="C95" s="10" t="s">
        <v>43</v>
      </c>
      <c r="D95" s="11" t="n">
        <v>39000000</v>
      </c>
      <c r="E95" s="12" t="n">
        <v>1.7342</v>
      </c>
      <c r="F95" s="10" t="n">
        <v>1</v>
      </c>
      <c r="G95" s="10" t="n">
        <v>4</v>
      </c>
    </row>
    <row r="96" customFormat="false" ht="15" hidden="false" customHeight="false" outlineLevel="0" collapsed="false">
      <c r="A96" s="3" t="s">
        <v>140</v>
      </c>
      <c r="B96" s="10" t="s">
        <v>35</v>
      </c>
      <c r="C96" s="10" t="s">
        <v>41</v>
      </c>
      <c r="D96" s="11" t="n">
        <v>18000000</v>
      </c>
      <c r="E96" s="12" t="n">
        <v>1.2593</v>
      </c>
      <c r="F96" s="10" t="n">
        <v>2</v>
      </c>
      <c r="G96" s="10" t="n">
        <v>1</v>
      </c>
    </row>
    <row r="97" customFormat="false" ht="15" hidden="false" customHeight="false" outlineLevel="0" collapsed="false">
      <c r="A97" s="3" t="s">
        <v>141</v>
      </c>
      <c r="B97" s="10" t="s">
        <v>32</v>
      </c>
      <c r="C97" s="10" t="s">
        <v>36</v>
      </c>
      <c r="D97" s="11" t="n">
        <v>22000000</v>
      </c>
      <c r="E97" s="12" t="n">
        <v>3.5162</v>
      </c>
      <c r="F97" s="10" t="n">
        <v>1</v>
      </c>
      <c r="G97" s="10" t="n">
        <v>2</v>
      </c>
    </row>
    <row r="98" customFormat="false" ht="15" hidden="false" customHeight="false" outlineLevel="0" collapsed="false">
      <c r="A98" s="3" t="s">
        <v>142</v>
      </c>
      <c r="B98" s="10" t="s">
        <v>32</v>
      </c>
      <c r="C98" s="10" t="s">
        <v>33</v>
      </c>
      <c r="D98" s="11" t="n">
        <v>35000000</v>
      </c>
      <c r="E98" s="12" t="n">
        <v>6.1592</v>
      </c>
      <c r="F98" s="10" t="n">
        <v>2</v>
      </c>
      <c r="G98" s="10" t="n">
        <v>0</v>
      </c>
    </row>
    <row r="99" customFormat="false" ht="15" hidden="false" customHeight="false" outlineLevel="0" collapsed="false">
      <c r="A99" s="3" t="s">
        <v>143</v>
      </c>
      <c r="B99" s="10" t="s">
        <v>38</v>
      </c>
      <c r="C99" s="10" t="s">
        <v>36</v>
      </c>
      <c r="D99" s="11" t="n">
        <v>34000000</v>
      </c>
      <c r="E99" s="12" t="n">
        <v>1.7065</v>
      </c>
      <c r="F99" s="10" t="n">
        <v>1</v>
      </c>
      <c r="G99" s="10" t="n">
        <v>0</v>
      </c>
    </row>
    <row r="100" customFormat="false" ht="15" hidden="false" customHeight="false" outlineLevel="0" collapsed="false">
      <c r="A100" s="3" t="s">
        <v>144</v>
      </c>
      <c r="B100" s="10" t="s">
        <v>52</v>
      </c>
      <c r="C100" s="10" t="s">
        <v>49</v>
      </c>
      <c r="D100" s="11" t="n">
        <v>24000000</v>
      </c>
      <c r="E100" s="12" t="n">
        <v>6.7666</v>
      </c>
      <c r="F100" s="10" t="n">
        <v>2</v>
      </c>
      <c r="G100" s="10" t="n">
        <v>3</v>
      </c>
    </row>
    <row r="101" customFormat="false" ht="15" hidden="false" customHeight="false" outlineLevel="0" collapsed="false">
      <c r="A101" s="3" t="s">
        <v>145</v>
      </c>
      <c r="B101" s="10" t="s">
        <v>32</v>
      </c>
      <c r="C101" s="10" t="s">
        <v>53</v>
      </c>
      <c r="D101" s="11" t="n">
        <v>22000000</v>
      </c>
      <c r="E101" s="12" t="n">
        <v>3.4281</v>
      </c>
      <c r="F101" s="10" t="n">
        <v>2</v>
      </c>
      <c r="G101" s="10" t="n">
        <v>1</v>
      </c>
    </row>
    <row r="102" customFormat="false" ht="15" hidden="false" customHeight="false" outlineLevel="0" collapsed="false">
      <c r="A102" s="3" t="s">
        <v>146</v>
      </c>
      <c r="B102" s="10" t="s">
        <v>47</v>
      </c>
      <c r="C102" s="10" t="s">
        <v>36</v>
      </c>
      <c r="D102" s="11" t="n">
        <v>2000000</v>
      </c>
      <c r="E102" s="12" t="n">
        <v>6.0222</v>
      </c>
      <c r="F102" s="10" t="n">
        <v>1</v>
      </c>
      <c r="G102" s="10" t="n">
        <v>1</v>
      </c>
    </row>
    <row r="103" customFormat="false" ht="15" hidden="false" customHeight="false" outlineLevel="0" collapsed="false">
      <c r="A103" s="3" t="s">
        <v>147</v>
      </c>
      <c r="B103" s="10" t="s">
        <v>35</v>
      </c>
      <c r="C103" s="10" t="s">
        <v>33</v>
      </c>
      <c r="D103" s="11" t="n">
        <v>34000000</v>
      </c>
      <c r="E103" s="12" t="n">
        <v>4.3543</v>
      </c>
      <c r="F103" s="10" t="n">
        <v>2</v>
      </c>
      <c r="G103" s="10" t="n">
        <v>0</v>
      </c>
    </row>
    <row r="104" customFormat="false" ht="15" hidden="false" customHeight="false" outlineLevel="0" collapsed="false">
      <c r="A104" s="3" t="s">
        <v>148</v>
      </c>
      <c r="B104" s="10" t="s">
        <v>32</v>
      </c>
      <c r="C104" s="10" t="s">
        <v>33</v>
      </c>
      <c r="D104" s="11" t="n">
        <v>10000000</v>
      </c>
      <c r="E104" s="12" t="n">
        <v>6.7799</v>
      </c>
      <c r="F104" s="10" t="n">
        <v>2</v>
      </c>
      <c r="G104" s="10" t="n">
        <v>2</v>
      </c>
    </row>
    <row r="105" customFormat="false" ht="15" hidden="false" customHeight="false" outlineLevel="0" collapsed="false">
      <c r="A105" s="3" t="s">
        <v>149</v>
      </c>
      <c r="B105" s="10" t="s">
        <v>38</v>
      </c>
      <c r="C105" s="10" t="s">
        <v>33</v>
      </c>
      <c r="D105" s="11" t="n">
        <v>34000000</v>
      </c>
      <c r="E105" s="12" t="n">
        <v>5.5561</v>
      </c>
      <c r="F105" s="10" t="n">
        <v>1</v>
      </c>
      <c r="G105" s="10" t="n">
        <v>1</v>
      </c>
    </row>
    <row r="106" customFormat="false" ht="15" hidden="false" customHeight="false" outlineLevel="0" collapsed="false">
      <c r="A106" s="3" t="s">
        <v>150</v>
      </c>
      <c r="B106" s="10" t="s">
        <v>45</v>
      </c>
      <c r="C106" s="10" t="s">
        <v>66</v>
      </c>
      <c r="D106" s="11" t="n">
        <v>46000000</v>
      </c>
      <c r="E106" s="12" t="n">
        <v>1.3293</v>
      </c>
      <c r="F106" s="10" t="n">
        <v>2</v>
      </c>
      <c r="G106" s="10" t="n">
        <v>0</v>
      </c>
    </row>
    <row r="107" customFormat="false" ht="15" hidden="false" customHeight="false" outlineLevel="0" collapsed="false">
      <c r="A107" s="3" t="s">
        <v>151</v>
      </c>
      <c r="B107" s="10" t="s">
        <v>35</v>
      </c>
      <c r="C107" s="10" t="s">
        <v>53</v>
      </c>
      <c r="D107" s="11" t="n">
        <v>33000000</v>
      </c>
      <c r="E107" s="12" t="n">
        <v>5.4281</v>
      </c>
      <c r="F107" s="10" t="n">
        <v>2</v>
      </c>
      <c r="G107" s="10" t="n">
        <v>2</v>
      </c>
    </row>
    <row r="108" customFormat="false" ht="15" hidden="false" customHeight="false" outlineLevel="0" collapsed="false">
      <c r="A108" s="3" t="s">
        <v>152</v>
      </c>
      <c r="B108" s="10" t="s">
        <v>45</v>
      </c>
      <c r="C108" s="10" t="s">
        <v>41</v>
      </c>
      <c r="D108" s="11" t="n">
        <v>17000000</v>
      </c>
      <c r="E108" s="12" t="n">
        <v>3.3246</v>
      </c>
      <c r="F108" s="10" t="n">
        <v>1</v>
      </c>
      <c r="G108" s="10" t="n">
        <v>1</v>
      </c>
    </row>
    <row r="109" customFormat="false" ht="15" hidden="false" customHeight="false" outlineLevel="0" collapsed="false">
      <c r="A109" s="3" t="s">
        <v>153</v>
      </c>
      <c r="B109" s="10" t="s">
        <v>32</v>
      </c>
      <c r="C109" s="10" t="s">
        <v>60</v>
      </c>
      <c r="D109" s="11" t="n">
        <v>28000000</v>
      </c>
      <c r="E109" s="12" t="n">
        <v>1.7643</v>
      </c>
      <c r="F109" s="10" t="n">
        <v>1</v>
      </c>
      <c r="G109" s="10" t="n">
        <v>6</v>
      </c>
    </row>
    <row r="110" customFormat="false" ht="15" hidden="false" customHeight="false" outlineLevel="0" collapsed="false">
      <c r="A110" s="3" t="s">
        <v>154</v>
      </c>
      <c r="B110" s="10" t="s">
        <v>40</v>
      </c>
      <c r="C110" s="10" t="s">
        <v>36</v>
      </c>
      <c r="D110" s="11" t="n">
        <v>47000000</v>
      </c>
      <c r="E110" s="12" t="n">
        <v>1.1511</v>
      </c>
      <c r="F110" s="10" t="n">
        <v>2</v>
      </c>
      <c r="G110" s="10" t="n">
        <v>0</v>
      </c>
    </row>
    <row r="111" customFormat="false" ht="15" hidden="false" customHeight="false" outlineLevel="0" collapsed="false">
      <c r="A111" s="3" t="s">
        <v>155</v>
      </c>
      <c r="B111" s="10" t="s">
        <v>35</v>
      </c>
      <c r="C111" s="10" t="s">
        <v>33</v>
      </c>
      <c r="D111" s="11" t="n">
        <v>35000000</v>
      </c>
      <c r="E111" s="12" t="n">
        <v>3.5831</v>
      </c>
      <c r="F111" s="10" t="n">
        <v>3</v>
      </c>
      <c r="G111" s="10" t="n">
        <v>3</v>
      </c>
    </row>
    <row r="112" customFormat="false" ht="15" hidden="false" customHeight="false" outlineLevel="0" collapsed="false">
      <c r="A112" s="3" t="s">
        <v>156</v>
      </c>
      <c r="B112" s="10" t="s">
        <v>38</v>
      </c>
      <c r="C112" s="10" t="s">
        <v>66</v>
      </c>
      <c r="D112" s="11" t="n">
        <v>48000000</v>
      </c>
      <c r="E112" s="12" t="n">
        <v>1.5982</v>
      </c>
      <c r="F112" s="10" t="n">
        <v>3</v>
      </c>
      <c r="G112" s="10" t="n">
        <v>1</v>
      </c>
    </row>
    <row r="113" customFormat="false" ht="15" hidden="false" customHeight="false" outlineLevel="0" collapsed="false">
      <c r="A113" s="3" t="s">
        <v>157</v>
      </c>
      <c r="B113" s="10" t="s">
        <v>35</v>
      </c>
      <c r="C113" s="10" t="s">
        <v>41</v>
      </c>
      <c r="D113" s="11" t="n">
        <v>23000000</v>
      </c>
      <c r="E113" s="12" t="n">
        <v>6.5277</v>
      </c>
      <c r="F113" s="10" t="n">
        <v>1</v>
      </c>
      <c r="G113" s="10" t="n">
        <v>0</v>
      </c>
    </row>
    <row r="114" customFormat="false" ht="15" hidden="false" customHeight="false" outlineLevel="0" collapsed="false">
      <c r="A114" s="3" t="s">
        <v>158</v>
      </c>
      <c r="B114" s="10" t="s">
        <v>40</v>
      </c>
      <c r="C114" s="10" t="s">
        <v>33</v>
      </c>
      <c r="D114" s="11" t="n">
        <v>35000000</v>
      </c>
      <c r="E114" s="12" t="n">
        <v>5.045</v>
      </c>
      <c r="F114" s="10" t="n">
        <v>3</v>
      </c>
      <c r="G114" s="10" t="n">
        <v>0</v>
      </c>
    </row>
    <row r="115" customFormat="false" ht="15" hidden="false" customHeight="false" outlineLevel="0" collapsed="false">
      <c r="A115" s="3" t="s">
        <v>159</v>
      </c>
      <c r="B115" s="10" t="s">
        <v>38</v>
      </c>
      <c r="C115" s="10" t="s">
        <v>36</v>
      </c>
      <c r="D115" s="11" t="n">
        <v>20000000</v>
      </c>
      <c r="E115" s="12" t="n">
        <v>5.5175</v>
      </c>
      <c r="F115" s="10" t="n">
        <v>1</v>
      </c>
      <c r="G115" s="10" t="n">
        <v>0</v>
      </c>
    </row>
    <row r="116" customFormat="false" ht="15" hidden="false" customHeight="false" outlineLevel="0" collapsed="false">
      <c r="A116" s="3" t="s">
        <v>160</v>
      </c>
      <c r="B116" s="10" t="s">
        <v>32</v>
      </c>
      <c r="C116" s="10" t="s">
        <v>49</v>
      </c>
      <c r="D116" s="11" t="n">
        <v>23000000</v>
      </c>
      <c r="E116" s="12" t="n">
        <v>3.5652</v>
      </c>
      <c r="F116" s="10" t="n">
        <v>2</v>
      </c>
      <c r="G116" s="10" t="n">
        <v>3</v>
      </c>
    </row>
    <row r="117" customFormat="false" ht="15" hidden="false" customHeight="false" outlineLevel="0" collapsed="false">
      <c r="A117" s="3" t="s">
        <v>161</v>
      </c>
      <c r="B117" s="10" t="s">
        <v>40</v>
      </c>
      <c r="C117" s="10" t="s">
        <v>60</v>
      </c>
      <c r="D117" s="11" t="n">
        <v>23000000</v>
      </c>
      <c r="E117" s="12" t="n">
        <v>5.1405</v>
      </c>
      <c r="F117" s="10" t="n">
        <v>2</v>
      </c>
      <c r="G117" s="10" t="n">
        <v>0</v>
      </c>
    </row>
    <row r="118" customFormat="false" ht="15" hidden="false" customHeight="false" outlineLevel="0" collapsed="false">
      <c r="A118" s="3" t="s">
        <v>162</v>
      </c>
      <c r="B118" s="10" t="s">
        <v>52</v>
      </c>
      <c r="C118" s="10" t="s">
        <v>49</v>
      </c>
      <c r="D118" s="11" t="n">
        <v>32000000</v>
      </c>
      <c r="E118" s="12" t="n">
        <v>3.718</v>
      </c>
      <c r="F118" s="10" t="n">
        <v>2</v>
      </c>
      <c r="G118" s="10" t="n">
        <v>1</v>
      </c>
    </row>
    <row r="119" customFormat="false" ht="15" hidden="false" customHeight="false" outlineLevel="0" collapsed="false">
      <c r="A119" s="3" t="s">
        <v>163</v>
      </c>
      <c r="B119" s="10" t="s">
        <v>45</v>
      </c>
      <c r="C119" s="10" t="s">
        <v>43</v>
      </c>
      <c r="D119" s="11" t="n">
        <v>4000000</v>
      </c>
      <c r="E119" s="12" t="n">
        <v>6.3806</v>
      </c>
      <c r="F119" s="10" t="n">
        <v>1</v>
      </c>
      <c r="G119" s="10" t="n">
        <v>0</v>
      </c>
    </row>
    <row r="120" customFormat="false" ht="15" hidden="false" customHeight="false" outlineLevel="0" collapsed="false">
      <c r="A120" s="3" t="s">
        <v>164</v>
      </c>
      <c r="B120" s="10" t="s">
        <v>40</v>
      </c>
      <c r="C120" s="10" t="s">
        <v>53</v>
      </c>
      <c r="D120" s="11" t="n">
        <v>33000000</v>
      </c>
      <c r="E120" s="12" t="n">
        <v>1.2955</v>
      </c>
      <c r="F120" s="10" t="n">
        <v>3</v>
      </c>
      <c r="G120" s="10" t="n">
        <v>4</v>
      </c>
    </row>
    <row r="121" customFormat="false" ht="15" hidden="false" customHeight="false" outlineLevel="0" collapsed="false">
      <c r="A121" s="3" t="s">
        <v>165</v>
      </c>
      <c r="B121" s="10" t="s">
        <v>52</v>
      </c>
      <c r="C121" s="10" t="s">
        <v>43</v>
      </c>
      <c r="D121" s="11" t="n">
        <v>2000000</v>
      </c>
      <c r="E121" s="12" t="n">
        <v>5.9379</v>
      </c>
      <c r="F121" s="10" t="n">
        <v>1</v>
      </c>
      <c r="G121" s="10" t="n">
        <v>1</v>
      </c>
    </row>
    <row r="122" customFormat="false" ht="15" hidden="false" customHeight="false" outlineLevel="0" collapsed="false">
      <c r="A122" s="3" t="s">
        <v>166</v>
      </c>
      <c r="B122" s="10" t="s">
        <v>35</v>
      </c>
      <c r="C122" s="10" t="s">
        <v>53</v>
      </c>
      <c r="D122" s="11" t="n">
        <v>29000000</v>
      </c>
      <c r="E122" s="12" t="n">
        <v>5.7857</v>
      </c>
      <c r="F122" s="10" t="n">
        <v>1</v>
      </c>
      <c r="G122" s="10" t="n">
        <v>1</v>
      </c>
    </row>
    <row r="123" customFormat="false" ht="15" hidden="false" customHeight="false" outlineLevel="0" collapsed="false">
      <c r="A123" s="3" t="s">
        <v>167</v>
      </c>
      <c r="B123" s="10" t="s">
        <v>52</v>
      </c>
      <c r="C123" s="10" t="s">
        <v>53</v>
      </c>
      <c r="D123" s="11" t="n">
        <v>8000000</v>
      </c>
      <c r="E123" s="12" t="n">
        <v>1.2436</v>
      </c>
      <c r="F123" s="10" t="n">
        <v>1</v>
      </c>
      <c r="G123" s="10" t="n">
        <v>3</v>
      </c>
    </row>
    <row r="124" customFormat="false" ht="15" hidden="false" customHeight="false" outlineLevel="0" collapsed="false">
      <c r="A124" s="3" t="s">
        <v>168</v>
      </c>
      <c r="B124" s="10" t="s">
        <v>40</v>
      </c>
      <c r="C124" s="10" t="s">
        <v>36</v>
      </c>
      <c r="D124" s="11" t="n">
        <v>44000000</v>
      </c>
      <c r="E124" s="12" t="n">
        <v>3.2261</v>
      </c>
      <c r="F124" s="10" t="n">
        <v>3</v>
      </c>
      <c r="G124" s="10" t="n">
        <v>7</v>
      </c>
    </row>
    <row r="125" customFormat="false" ht="15" hidden="false" customHeight="false" outlineLevel="0" collapsed="false">
      <c r="A125" s="3" t="s">
        <v>169</v>
      </c>
      <c r="B125" s="10" t="s">
        <v>47</v>
      </c>
      <c r="C125" s="10" t="s">
        <v>49</v>
      </c>
      <c r="D125" s="11" t="n">
        <v>47000000</v>
      </c>
      <c r="E125" s="12" t="n">
        <v>4.5627</v>
      </c>
      <c r="F125" s="10" t="n">
        <v>1</v>
      </c>
      <c r="G125" s="10" t="n">
        <v>1</v>
      </c>
    </row>
    <row r="126" customFormat="false" ht="15" hidden="false" customHeight="false" outlineLevel="0" collapsed="false">
      <c r="A126" s="3" t="s">
        <v>170</v>
      </c>
      <c r="B126" s="10" t="s">
        <v>32</v>
      </c>
      <c r="C126" s="10" t="s">
        <v>49</v>
      </c>
      <c r="D126" s="11" t="n">
        <v>16000000</v>
      </c>
      <c r="E126" s="12" t="n">
        <v>6.8198</v>
      </c>
      <c r="F126" s="10" t="n">
        <v>3</v>
      </c>
      <c r="G126" s="10" t="n">
        <v>6</v>
      </c>
    </row>
    <row r="127" customFormat="false" ht="15" hidden="false" customHeight="false" outlineLevel="0" collapsed="false">
      <c r="A127" s="3" t="s">
        <v>171</v>
      </c>
      <c r="B127" s="10" t="s">
        <v>32</v>
      </c>
      <c r="C127" s="10" t="s">
        <v>60</v>
      </c>
      <c r="D127" s="11" t="n">
        <v>31000000</v>
      </c>
      <c r="E127" s="12" t="n">
        <v>2.3699</v>
      </c>
      <c r="F127" s="10" t="n">
        <v>1</v>
      </c>
      <c r="G127" s="10" t="n">
        <v>1</v>
      </c>
    </row>
    <row r="128" customFormat="false" ht="15" hidden="false" customHeight="false" outlineLevel="0" collapsed="false">
      <c r="A128" s="3" t="s">
        <v>172</v>
      </c>
      <c r="B128" s="10" t="s">
        <v>52</v>
      </c>
      <c r="C128" s="10" t="s">
        <v>43</v>
      </c>
      <c r="D128" s="11" t="n">
        <v>49000000</v>
      </c>
      <c r="E128" s="12" t="n">
        <v>3.696</v>
      </c>
      <c r="F128" s="10" t="n">
        <v>1</v>
      </c>
      <c r="G128" s="10" t="n">
        <v>2</v>
      </c>
    </row>
    <row r="129" customFormat="false" ht="15" hidden="false" customHeight="false" outlineLevel="0" collapsed="false">
      <c r="A129" s="3" t="s">
        <v>173</v>
      </c>
      <c r="B129" s="10" t="s">
        <v>47</v>
      </c>
      <c r="C129" s="10" t="s">
        <v>66</v>
      </c>
      <c r="D129" s="11" t="n">
        <v>35000000</v>
      </c>
      <c r="E129" s="12" t="n">
        <v>3.7407</v>
      </c>
      <c r="F129" s="10" t="n">
        <v>3</v>
      </c>
      <c r="G129" s="10" t="n">
        <v>2</v>
      </c>
    </row>
    <row r="130" customFormat="false" ht="15" hidden="false" customHeight="false" outlineLevel="0" collapsed="false">
      <c r="A130" s="3" t="s">
        <v>174</v>
      </c>
      <c r="B130" s="10" t="s">
        <v>35</v>
      </c>
      <c r="C130" s="10" t="s">
        <v>36</v>
      </c>
      <c r="D130" s="11" t="n">
        <v>1000000</v>
      </c>
      <c r="E130" s="12" t="n">
        <v>6.9761</v>
      </c>
      <c r="F130" s="10" t="n">
        <v>3</v>
      </c>
      <c r="G130" s="10" t="n">
        <v>5</v>
      </c>
    </row>
    <row r="131" customFormat="false" ht="15" hidden="false" customHeight="false" outlineLevel="0" collapsed="false">
      <c r="A131" s="3" t="s">
        <v>175</v>
      </c>
      <c r="B131" s="10" t="s">
        <v>35</v>
      </c>
      <c r="C131" s="10" t="s">
        <v>33</v>
      </c>
      <c r="D131" s="11" t="n">
        <v>6000000</v>
      </c>
      <c r="E131" s="12" t="n">
        <v>1.6487</v>
      </c>
      <c r="F131" s="10" t="n">
        <v>2</v>
      </c>
      <c r="G131" s="10" t="n">
        <v>4</v>
      </c>
    </row>
    <row r="132" customFormat="false" ht="15" hidden="false" customHeight="false" outlineLevel="0" collapsed="false">
      <c r="A132" s="3" t="s">
        <v>176</v>
      </c>
      <c r="B132" s="10" t="s">
        <v>38</v>
      </c>
      <c r="C132" s="10" t="s">
        <v>49</v>
      </c>
      <c r="D132" s="11" t="n">
        <v>9000000</v>
      </c>
      <c r="E132" s="12" t="n">
        <v>2.8138</v>
      </c>
      <c r="F132" s="10" t="n">
        <v>2</v>
      </c>
      <c r="G132" s="10" t="n">
        <v>3</v>
      </c>
    </row>
    <row r="133" customFormat="false" ht="15" hidden="false" customHeight="false" outlineLevel="0" collapsed="false">
      <c r="A133" s="3" t="s">
        <v>177</v>
      </c>
      <c r="B133" s="10" t="s">
        <v>45</v>
      </c>
      <c r="C133" s="10" t="s">
        <v>66</v>
      </c>
      <c r="D133" s="11" t="n">
        <v>37000000</v>
      </c>
      <c r="E133" s="12" t="n">
        <v>3.8272</v>
      </c>
      <c r="F133" s="10" t="n">
        <v>3</v>
      </c>
      <c r="G133" s="10" t="n">
        <v>1</v>
      </c>
    </row>
    <row r="134" customFormat="false" ht="15" hidden="false" customHeight="false" outlineLevel="0" collapsed="false">
      <c r="A134" s="3" t="s">
        <v>178</v>
      </c>
      <c r="B134" s="10" t="s">
        <v>45</v>
      </c>
      <c r="C134" s="10" t="s">
        <v>49</v>
      </c>
      <c r="D134" s="11" t="n">
        <v>24000000</v>
      </c>
      <c r="E134" s="12" t="n">
        <v>1.4808</v>
      </c>
      <c r="F134" s="10" t="n">
        <v>2</v>
      </c>
      <c r="G134" s="10" t="n">
        <v>0</v>
      </c>
    </row>
    <row r="135" customFormat="false" ht="15" hidden="false" customHeight="false" outlineLevel="0" collapsed="false">
      <c r="A135" s="3" t="s">
        <v>179</v>
      </c>
      <c r="B135" s="10" t="s">
        <v>40</v>
      </c>
      <c r="C135" s="10" t="s">
        <v>41</v>
      </c>
      <c r="D135" s="11" t="n">
        <v>46000000</v>
      </c>
      <c r="E135" s="12" t="n">
        <v>3.723</v>
      </c>
      <c r="F135" s="10" t="n">
        <v>1</v>
      </c>
      <c r="G135" s="10" t="n">
        <v>2</v>
      </c>
    </row>
    <row r="136" customFormat="false" ht="15" hidden="false" customHeight="false" outlineLevel="0" collapsed="false">
      <c r="A136" s="3" t="s">
        <v>180</v>
      </c>
      <c r="B136" s="10" t="s">
        <v>40</v>
      </c>
      <c r="C136" s="10" t="s">
        <v>43</v>
      </c>
      <c r="D136" s="11" t="n">
        <v>41000000</v>
      </c>
      <c r="E136" s="12" t="n">
        <v>4.9668</v>
      </c>
      <c r="F136" s="10" t="n">
        <v>3</v>
      </c>
      <c r="G136" s="10" t="n">
        <v>4</v>
      </c>
    </row>
    <row r="137" customFormat="false" ht="15" hidden="false" customHeight="false" outlineLevel="0" collapsed="false">
      <c r="A137" s="3" t="s">
        <v>181</v>
      </c>
      <c r="B137" s="10" t="s">
        <v>45</v>
      </c>
      <c r="C137" s="10" t="s">
        <v>33</v>
      </c>
      <c r="D137" s="11" t="n">
        <v>28000000</v>
      </c>
      <c r="E137" s="12" t="n">
        <v>2.0567</v>
      </c>
      <c r="F137" s="10" t="n">
        <v>2</v>
      </c>
      <c r="G137" s="10" t="n">
        <v>2</v>
      </c>
    </row>
    <row r="138" customFormat="false" ht="15" hidden="false" customHeight="false" outlineLevel="0" collapsed="false">
      <c r="A138" s="3" t="s">
        <v>182</v>
      </c>
      <c r="B138" s="10" t="s">
        <v>35</v>
      </c>
      <c r="C138" s="10" t="s">
        <v>49</v>
      </c>
      <c r="D138" s="11" t="n">
        <v>22000000</v>
      </c>
      <c r="E138" s="12" t="n">
        <v>2.0157</v>
      </c>
      <c r="F138" s="10" t="n">
        <v>1</v>
      </c>
      <c r="G138" s="10" t="n">
        <v>3</v>
      </c>
    </row>
    <row r="139" customFormat="false" ht="15" hidden="false" customHeight="false" outlineLevel="0" collapsed="false">
      <c r="A139" s="3" t="s">
        <v>183</v>
      </c>
      <c r="B139" s="10" t="s">
        <v>40</v>
      </c>
      <c r="C139" s="10" t="s">
        <v>43</v>
      </c>
      <c r="D139" s="11" t="n">
        <v>9000000</v>
      </c>
      <c r="E139" s="12" t="n">
        <v>3.2484</v>
      </c>
      <c r="F139" s="10" t="n">
        <v>2</v>
      </c>
      <c r="G139" s="10" t="n">
        <v>0</v>
      </c>
    </row>
    <row r="140" customFormat="false" ht="15" hidden="false" customHeight="false" outlineLevel="0" collapsed="false">
      <c r="A140" s="3" t="s">
        <v>184</v>
      </c>
      <c r="B140" s="10" t="s">
        <v>32</v>
      </c>
      <c r="C140" s="10" t="s">
        <v>66</v>
      </c>
      <c r="D140" s="11" t="n">
        <v>15000000</v>
      </c>
      <c r="E140" s="12" t="n">
        <v>1.8159</v>
      </c>
      <c r="F140" s="10" t="n">
        <v>2</v>
      </c>
      <c r="G140" s="10" t="n">
        <v>4</v>
      </c>
    </row>
    <row r="141" customFormat="false" ht="15" hidden="false" customHeight="false" outlineLevel="0" collapsed="false">
      <c r="A141" s="3" t="s">
        <v>185</v>
      </c>
      <c r="B141" s="10" t="s">
        <v>35</v>
      </c>
      <c r="C141" s="10" t="s">
        <v>66</v>
      </c>
      <c r="D141" s="11" t="n">
        <v>6000000</v>
      </c>
      <c r="E141" s="12" t="n">
        <v>1.4524</v>
      </c>
      <c r="F141" s="10" t="n">
        <v>1</v>
      </c>
      <c r="G141" s="10" t="n">
        <v>1</v>
      </c>
    </row>
    <row r="142" customFormat="false" ht="15" hidden="false" customHeight="false" outlineLevel="0" collapsed="false">
      <c r="A142" s="3" t="s">
        <v>186</v>
      </c>
      <c r="B142" s="10" t="s">
        <v>40</v>
      </c>
      <c r="C142" s="10" t="s">
        <v>53</v>
      </c>
      <c r="D142" s="11" t="n">
        <v>10000000</v>
      </c>
      <c r="E142" s="12" t="n">
        <v>5.0302</v>
      </c>
      <c r="F142" s="10" t="n">
        <v>3</v>
      </c>
      <c r="G142" s="10" t="n">
        <v>3</v>
      </c>
    </row>
    <row r="143" customFormat="false" ht="15" hidden="false" customHeight="false" outlineLevel="0" collapsed="false">
      <c r="A143" s="3" t="s">
        <v>187</v>
      </c>
      <c r="B143" s="10" t="s">
        <v>35</v>
      </c>
      <c r="C143" s="10" t="s">
        <v>60</v>
      </c>
      <c r="D143" s="11" t="n">
        <v>47000000</v>
      </c>
      <c r="E143" s="12" t="n">
        <v>3.1387</v>
      </c>
      <c r="F143" s="10" t="n">
        <v>2</v>
      </c>
      <c r="G143" s="10" t="n">
        <v>3</v>
      </c>
    </row>
    <row r="144" customFormat="false" ht="15" hidden="false" customHeight="false" outlineLevel="0" collapsed="false">
      <c r="A144" s="3" t="s">
        <v>188</v>
      </c>
      <c r="B144" s="10" t="s">
        <v>32</v>
      </c>
      <c r="C144" s="10" t="s">
        <v>49</v>
      </c>
      <c r="D144" s="11" t="n">
        <v>5000000</v>
      </c>
      <c r="E144" s="12" t="n">
        <v>4.8623</v>
      </c>
      <c r="F144" s="10" t="n">
        <v>3</v>
      </c>
      <c r="G144" s="10" t="n">
        <v>0</v>
      </c>
    </row>
    <row r="145" customFormat="false" ht="15" hidden="false" customHeight="false" outlineLevel="0" collapsed="false">
      <c r="A145" s="3" t="s">
        <v>189</v>
      </c>
      <c r="B145" s="10" t="s">
        <v>40</v>
      </c>
      <c r="C145" s="10" t="s">
        <v>43</v>
      </c>
      <c r="D145" s="11" t="n">
        <v>25000000</v>
      </c>
      <c r="E145" s="12" t="n">
        <v>4.439</v>
      </c>
      <c r="F145" s="10" t="n">
        <v>1</v>
      </c>
      <c r="G145" s="10" t="n">
        <v>0</v>
      </c>
    </row>
    <row r="146" customFormat="false" ht="15" hidden="false" customHeight="false" outlineLevel="0" collapsed="false">
      <c r="A146" s="3" t="s">
        <v>190</v>
      </c>
      <c r="B146" s="10" t="s">
        <v>32</v>
      </c>
      <c r="C146" s="10" t="s">
        <v>43</v>
      </c>
      <c r="D146" s="11" t="n">
        <v>4000000</v>
      </c>
      <c r="E146" s="12" t="n">
        <v>3.4227</v>
      </c>
      <c r="F146" s="10" t="n">
        <v>2</v>
      </c>
      <c r="G146" s="10" t="n">
        <v>8</v>
      </c>
    </row>
    <row r="147" customFormat="false" ht="15" hidden="false" customHeight="false" outlineLevel="0" collapsed="false">
      <c r="A147" s="3" t="s">
        <v>191</v>
      </c>
      <c r="B147" s="10" t="s">
        <v>35</v>
      </c>
      <c r="C147" s="10" t="s">
        <v>60</v>
      </c>
      <c r="D147" s="11" t="n">
        <v>13000000</v>
      </c>
      <c r="E147" s="12" t="n">
        <v>5.7683</v>
      </c>
      <c r="F147" s="10" t="n">
        <v>2</v>
      </c>
      <c r="G147" s="10" t="n">
        <v>0</v>
      </c>
    </row>
    <row r="148" customFormat="false" ht="15" hidden="false" customHeight="false" outlineLevel="0" collapsed="false">
      <c r="A148" s="3" t="s">
        <v>192</v>
      </c>
      <c r="B148" s="10" t="s">
        <v>35</v>
      </c>
      <c r="C148" s="10" t="s">
        <v>41</v>
      </c>
      <c r="D148" s="11" t="n">
        <v>16000000</v>
      </c>
      <c r="E148" s="12" t="n">
        <v>2.867</v>
      </c>
      <c r="F148" s="10" t="n">
        <v>2</v>
      </c>
      <c r="G148" s="10" t="n">
        <v>3</v>
      </c>
    </row>
    <row r="149" customFormat="false" ht="15" hidden="false" customHeight="false" outlineLevel="0" collapsed="false">
      <c r="A149" s="3" t="s">
        <v>193</v>
      </c>
      <c r="B149" s="10" t="s">
        <v>45</v>
      </c>
      <c r="C149" s="10" t="s">
        <v>66</v>
      </c>
      <c r="D149" s="11" t="n">
        <v>37000000</v>
      </c>
      <c r="E149" s="12" t="n">
        <v>6.746</v>
      </c>
      <c r="F149" s="10" t="n">
        <v>1</v>
      </c>
      <c r="G149" s="10" t="n">
        <v>0</v>
      </c>
    </row>
    <row r="150" customFormat="false" ht="15" hidden="false" customHeight="false" outlineLevel="0" collapsed="false">
      <c r="A150" s="3" t="s">
        <v>194</v>
      </c>
      <c r="B150" s="10" t="s">
        <v>38</v>
      </c>
      <c r="C150" s="10" t="s">
        <v>41</v>
      </c>
      <c r="D150" s="11" t="n">
        <v>22000000</v>
      </c>
      <c r="E150" s="12" t="n">
        <v>2.9938</v>
      </c>
      <c r="F150" s="10" t="n">
        <v>2</v>
      </c>
      <c r="G150" s="10" t="n">
        <v>5</v>
      </c>
    </row>
    <row r="151" customFormat="false" ht="15" hidden="false" customHeight="false" outlineLevel="0" collapsed="false">
      <c r="A151" s="3" t="s">
        <v>195</v>
      </c>
      <c r="B151" s="10" t="s">
        <v>45</v>
      </c>
      <c r="C151" s="10" t="s">
        <v>33</v>
      </c>
      <c r="D151" s="11" t="n">
        <v>2000000</v>
      </c>
      <c r="E151" s="12" t="n">
        <v>5.0331</v>
      </c>
      <c r="F151" s="10" t="n">
        <v>2</v>
      </c>
      <c r="G151" s="10" t="n">
        <v>3</v>
      </c>
    </row>
    <row r="152" customFormat="false" ht="15" hidden="false" customHeight="false" outlineLevel="0" collapsed="false">
      <c r="A152" s="3" t="s">
        <v>196</v>
      </c>
      <c r="B152" s="10" t="s">
        <v>40</v>
      </c>
      <c r="C152" s="10" t="s">
        <v>60</v>
      </c>
      <c r="D152" s="11" t="n">
        <v>7000000</v>
      </c>
      <c r="E152" s="12" t="n">
        <v>4.6039</v>
      </c>
      <c r="F152" s="10" t="n">
        <v>3</v>
      </c>
      <c r="G152" s="10" t="n">
        <v>0</v>
      </c>
    </row>
    <row r="153" customFormat="false" ht="15" hidden="false" customHeight="false" outlineLevel="0" collapsed="false">
      <c r="A153" s="3" t="s">
        <v>197</v>
      </c>
      <c r="B153" s="10" t="s">
        <v>32</v>
      </c>
      <c r="C153" s="10" t="s">
        <v>41</v>
      </c>
      <c r="D153" s="11" t="n">
        <v>36000000</v>
      </c>
      <c r="E153" s="12" t="n">
        <v>1.5221</v>
      </c>
      <c r="F153" s="10" t="n">
        <v>3</v>
      </c>
      <c r="G153" s="10" t="n">
        <v>1</v>
      </c>
    </row>
    <row r="154" customFormat="false" ht="15" hidden="false" customHeight="false" outlineLevel="0" collapsed="false">
      <c r="A154" s="3" t="s">
        <v>198</v>
      </c>
      <c r="B154" s="10" t="s">
        <v>40</v>
      </c>
      <c r="C154" s="10" t="s">
        <v>66</v>
      </c>
      <c r="D154" s="11" t="n">
        <v>21000000</v>
      </c>
      <c r="E154" s="12" t="n">
        <v>4.6525</v>
      </c>
      <c r="F154" s="10" t="n">
        <v>3</v>
      </c>
      <c r="G154" s="10" t="n">
        <v>0</v>
      </c>
    </row>
    <row r="155" customFormat="false" ht="15" hidden="false" customHeight="false" outlineLevel="0" collapsed="false">
      <c r="A155" s="3" t="s">
        <v>199</v>
      </c>
      <c r="B155" s="10" t="s">
        <v>32</v>
      </c>
      <c r="C155" s="10" t="s">
        <v>49</v>
      </c>
      <c r="D155" s="11" t="n">
        <v>26000000</v>
      </c>
      <c r="E155" s="12" t="n">
        <v>4.7055</v>
      </c>
      <c r="F155" s="10" t="n">
        <v>2</v>
      </c>
      <c r="G155" s="10" t="n">
        <v>0</v>
      </c>
    </row>
    <row r="156" customFormat="false" ht="15" hidden="false" customHeight="false" outlineLevel="0" collapsed="false">
      <c r="A156" s="3" t="s">
        <v>200</v>
      </c>
      <c r="B156" s="10" t="s">
        <v>47</v>
      </c>
      <c r="C156" s="10" t="s">
        <v>60</v>
      </c>
      <c r="D156" s="11" t="n">
        <v>37000000</v>
      </c>
      <c r="E156" s="12" t="n">
        <v>4.0386</v>
      </c>
      <c r="F156" s="10" t="n">
        <v>3</v>
      </c>
      <c r="G156" s="10" t="n">
        <v>0</v>
      </c>
    </row>
    <row r="157" customFormat="false" ht="15" hidden="false" customHeight="false" outlineLevel="0" collapsed="false">
      <c r="A157" s="3" t="s">
        <v>201</v>
      </c>
      <c r="B157" s="10" t="s">
        <v>32</v>
      </c>
      <c r="C157" s="10" t="s">
        <v>33</v>
      </c>
      <c r="D157" s="11" t="n">
        <v>21000000</v>
      </c>
      <c r="E157" s="12" t="n">
        <v>3.3768</v>
      </c>
      <c r="F157" s="10" t="n">
        <v>3</v>
      </c>
      <c r="G157" s="10" t="n">
        <v>0</v>
      </c>
    </row>
    <row r="158" customFormat="false" ht="15" hidden="false" customHeight="false" outlineLevel="0" collapsed="false">
      <c r="A158" s="3" t="s">
        <v>202</v>
      </c>
      <c r="B158" s="10" t="s">
        <v>35</v>
      </c>
      <c r="C158" s="10" t="s">
        <v>49</v>
      </c>
      <c r="D158" s="11" t="n">
        <v>27000000</v>
      </c>
      <c r="E158" s="12" t="n">
        <v>4.4255</v>
      </c>
      <c r="F158" s="10" t="n">
        <v>3</v>
      </c>
      <c r="G158" s="10" t="n">
        <v>0</v>
      </c>
    </row>
    <row r="159" customFormat="false" ht="15" hidden="false" customHeight="false" outlineLevel="0" collapsed="false">
      <c r="A159" s="3" t="s">
        <v>203</v>
      </c>
      <c r="B159" s="10" t="s">
        <v>40</v>
      </c>
      <c r="C159" s="10" t="s">
        <v>49</v>
      </c>
      <c r="D159" s="11" t="n">
        <v>38000000</v>
      </c>
      <c r="E159" s="12" t="n">
        <v>1.7767</v>
      </c>
      <c r="F159" s="10" t="n">
        <v>3</v>
      </c>
      <c r="G159" s="10" t="n">
        <v>1</v>
      </c>
    </row>
    <row r="160" customFormat="false" ht="15" hidden="false" customHeight="false" outlineLevel="0" collapsed="false">
      <c r="A160" s="3" t="s">
        <v>204</v>
      </c>
      <c r="B160" s="10" t="s">
        <v>52</v>
      </c>
      <c r="C160" s="10" t="s">
        <v>43</v>
      </c>
      <c r="D160" s="11" t="n">
        <v>11000000</v>
      </c>
      <c r="E160" s="12" t="n">
        <v>3.7351</v>
      </c>
      <c r="F160" s="10" t="n">
        <v>3</v>
      </c>
      <c r="G160" s="10" t="n">
        <v>0</v>
      </c>
    </row>
    <row r="161" customFormat="false" ht="15" hidden="false" customHeight="false" outlineLevel="0" collapsed="false">
      <c r="A161" s="3" t="s">
        <v>205</v>
      </c>
      <c r="B161" s="10" t="s">
        <v>32</v>
      </c>
      <c r="C161" s="10" t="s">
        <v>36</v>
      </c>
      <c r="D161" s="11" t="n">
        <v>40000000</v>
      </c>
      <c r="E161" s="12" t="n">
        <v>3.2072</v>
      </c>
      <c r="F161" s="10" t="n">
        <v>2</v>
      </c>
      <c r="G161" s="10" t="n">
        <v>0</v>
      </c>
    </row>
    <row r="162" customFormat="false" ht="15" hidden="false" customHeight="false" outlineLevel="0" collapsed="false">
      <c r="A162" s="3" t="s">
        <v>206</v>
      </c>
      <c r="B162" s="10" t="s">
        <v>52</v>
      </c>
      <c r="C162" s="10" t="s">
        <v>33</v>
      </c>
      <c r="D162" s="11" t="n">
        <v>10000000</v>
      </c>
      <c r="E162" s="12" t="n">
        <v>5.6354</v>
      </c>
      <c r="F162" s="10" t="n">
        <v>3</v>
      </c>
      <c r="G162" s="10" t="n">
        <v>5</v>
      </c>
    </row>
    <row r="163" customFormat="false" ht="15" hidden="false" customHeight="false" outlineLevel="0" collapsed="false">
      <c r="A163" s="3" t="s">
        <v>207</v>
      </c>
      <c r="B163" s="10" t="s">
        <v>35</v>
      </c>
      <c r="C163" s="10" t="s">
        <v>36</v>
      </c>
      <c r="D163" s="11" t="n">
        <v>43000000</v>
      </c>
      <c r="E163" s="12" t="n">
        <v>5.8317</v>
      </c>
      <c r="F163" s="10" t="n">
        <v>3</v>
      </c>
      <c r="G163" s="10" t="n">
        <v>0</v>
      </c>
    </row>
    <row r="164" customFormat="false" ht="15" hidden="false" customHeight="false" outlineLevel="0" collapsed="false">
      <c r="A164" s="3" t="s">
        <v>208</v>
      </c>
      <c r="B164" s="10" t="s">
        <v>32</v>
      </c>
      <c r="C164" s="10" t="s">
        <v>49</v>
      </c>
      <c r="D164" s="11" t="n">
        <v>15000000</v>
      </c>
      <c r="E164" s="12" t="n">
        <v>4.9566</v>
      </c>
      <c r="F164" s="10" t="n">
        <v>2</v>
      </c>
      <c r="G164" s="10" t="n">
        <v>1</v>
      </c>
    </row>
    <row r="165" customFormat="false" ht="15" hidden="false" customHeight="false" outlineLevel="0" collapsed="false">
      <c r="A165" s="3" t="s">
        <v>209</v>
      </c>
      <c r="B165" s="10" t="s">
        <v>32</v>
      </c>
      <c r="C165" s="10" t="s">
        <v>49</v>
      </c>
      <c r="D165" s="11" t="n">
        <v>3000000</v>
      </c>
      <c r="E165" s="12" t="n">
        <v>4.3368</v>
      </c>
      <c r="F165" s="10" t="n">
        <v>1</v>
      </c>
      <c r="G165" s="10" t="n">
        <v>0</v>
      </c>
    </row>
    <row r="166" customFormat="false" ht="15" hidden="false" customHeight="false" outlineLevel="0" collapsed="false">
      <c r="A166" s="3" t="s">
        <v>210</v>
      </c>
      <c r="B166" s="10" t="s">
        <v>52</v>
      </c>
      <c r="C166" s="10" t="s">
        <v>49</v>
      </c>
      <c r="D166" s="11" t="n">
        <v>16000000</v>
      </c>
      <c r="E166" s="12" t="n">
        <v>1.365</v>
      </c>
      <c r="F166" s="10" t="n">
        <v>1</v>
      </c>
      <c r="G166" s="10" t="n">
        <v>0</v>
      </c>
    </row>
    <row r="167" customFormat="false" ht="15" hidden="false" customHeight="false" outlineLevel="0" collapsed="false">
      <c r="A167" s="3" t="s">
        <v>211</v>
      </c>
      <c r="B167" s="10" t="s">
        <v>38</v>
      </c>
      <c r="C167" s="10" t="s">
        <v>60</v>
      </c>
      <c r="D167" s="11" t="n">
        <v>11000000</v>
      </c>
      <c r="E167" s="12" t="n">
        <v>5.0654</v>
      </c>
      <c r="F167" s="10" t="n">
        <v>3</v>
      </c>
      <c r="G167" s="10" t="n">
        <v>0</v>
      </c>
    </row>
    <row r="168" customFormat="false" ht="15" hidden="false" customHeight="false" outlineLevel="0" collapsed="false">
      <c r="A168" s="3" t="s">
        <v>212</v>
      </c>
      <c r="B168" s="10" t="s">
        <v>32</v>
      </c>
      <c r="C168" s="10" t="s">
        <v>60</v>
      </c>
      <c r="D168" s="11" t="n">
        <v>13000000</v>
      </c>
      <c r="E168" s="12" t="n">
        <v>5.822</v>
      </c>
      <c r="F168" s="10" t="n">
        <v>3</v>
      </c>
      <c r="G168" s="10" t="n">
        <v>1</v>
      </c>
    </row>
    <row r="169" customFormat="false" ht="15" hidden="false" customHeight="false" outlineLevel="0" collapsed="false">
      <c r="A169" s="3" t="s">
        <v>213</v>
      </c>
      <c r="B169" s="10" t="s">
        <v>47</v>
      </c>
      <c r="C169" s="10" t="s">
        <v>36</v>
      </c>
      <c r="D169" s="11" t="n">
        <v>42000000</v>
      </c>
      <c r="E169" s="12" t="n">
        <v>1.4597</v>
      </c>
      <c r="F169" s="10" t="n">
        <v>2</v>
      </c>
      <c r="G169" s="10" t="n">
        <v>0</v>
      </c>
    </row>
    <row r="170" customFormat="false" ht="15" hidden="false" customHeight="false" outlineLevel="0" collapsed="false">
      <c r="A170" s="3" t="s">
        <v>214</v>
      </c>
      <c r="B170" s="10" t="s">
        <v>45</v>
      </c>
      <c r="C170" s="10" t="s">
        <v>60</v>
      </c>
      <c r="D170" s="11" t="n">
        <v>7000000</v>
      </c>
      <c r="E170" s="12" t="n">
        <v>4.8001</v>
      </c>
      <c r="F170" s="10" t="n">
        <v>1</v>
      </c>
      <c r="G170" s="10" t="n">
        <v>3</v>
      </c>
    </row>
    <row r="171" customFormat="false" ht="15" hidden="false" customHeight="false" outlineLevel="0" collapsed="false">
      <c r="A171" s="3" t="s">
        <v>215</v>
      </c>
      <c r="B171" s="10" t="s">
        <v>47</v>
      </c>
      <c r="C171" s="10" t="s">
        <v>41</v>
      </c>
      <c r="D171" s="11" t="n">
        <v>17000000</v>
      </c>
      <c r="E171" s="12" t="n">
        <v>5.14</v>
      </c>
      <c r="F171" s="10" t="n">
        <v>3</v>
      </c>
      <c r="G171" s="10" t="n">
        <v>2</v>
      </c>
    </row>
    <row r="172" customFormat="false" ht="15" hidden="false" customHeight="false" outlineLevel="0" collapsed="false">
      <c r="A172" s="3" t="s">
        <v>216</v>
      </c>
      <c r="B172" s="10" t="s">
        <v>52</v>
      </c>
      <c r="C172" s="10" t="s">
        <v>49</v>
      </c>
      <c r="D172" s="11" t="n">
        <v>39000000</v>
      </c>
      <c r="E172" s="12" t="n">
        <v>6.4451</v>
      </c>
      <c r="F172" s="10" t="n">
        <v>1</v>
      </c>
      <c r="G172" s="10" t="n">
        <v>0</v>
      </c>
    </row>
    <row r="173" customFormat="false" ht="15" hidden="false" customHeight="false" outlineLevel="0" collapsed="false">
      <c r="A173" s="3" t="s">
        <v>217</v>
      </c>
      <c r="B173" s="10" t="s">
        <v>32</v>
      </c>
      <c r="C173" s="10" t="s">
        <v>49</v>
      </c>
      <c r="D173" s="11" t="n">
        <v>32000000</v>
      </c>
      <c r="E173" s="12" t="n">
        <v>3.3364</v>
      </c>
      <c r="F173" s="10" t="n">
        <v>1</v>
      </c>
      <c r="G173" s="10" t="n">
        <v>0</v>
      </c>
    </row>
    <row r="174" customFormat="false" ht="15" hidden="false" customHeight="false" outlineLevel="0" collapsed="false">
      <c r="A174" s="3" t="s">
        <v>218</v>
      </c>
      <c r="B174" s="10" t="s">
        <v>32</v>
      </c>
      <c r="C174" s="10" t="s">
        <v>49</v>
      </c>
      <c r="D174" s="11" t="n">
        <v>38000000</v>
      </c>
      <c r="E174" s="12" t="n">
        <v>6.1753</v>
      </c>
      <c r="F174" s="10" t="n">
        <v>1</v>
      </c>
      <c r="G174" s="10" t="n">
        <v>1</v>
      </c>
    </row>
    <row r="175" customFormat="false" ht="15" hidden="false" customHeight="false" outlineLevel="0" collapsed="false">
      <c r="A175" s="3" t="s">
        <v>219</v>
      </c>
      <c r="B175" s="10" t="s">
        <v>38</v>
      </c>
      <c r="C175" s="10" t="s">
        <v>33</v>
      </c>
      <c r="D175" s="11" t="n">
        <v>12000000</v>
      </c>
      <c r="E175" s="12" t="n">
        <v>6.6526</v>
      </c>
      <c r="F175" s="10" t="n">
        <v>1</v>
      </c>
      <c r="G175" s="10" t="n">
        <v>6</v>
      </c>
    </row>
    <row r="176" customFormat="false" ht="15" hidden="false" customHeight="false" outlineLevel="0" collapsed="false">
      <c r="A176" s="3" t="s">
        <v>220</v>
      </c>
      <c r="B176" s="10" t="s">
        <v>38</v>
      </c>
      <c r="C176" s="10" t="s">
        <v>33</v>
      </c>
      <c r="D176" s="11" t="n">
        <v>1000000</v>
      </c>
      <c r="E176" s="12" t="n">
        <v>1.3096</v>
      </c>
      <c r="F176" s="10" t="n">
        <v>1</v>
      </c>
      <c r="G176" s="10" t="n">
        <v>6</v>
      </c>
    </row>
    <row r="177" customFormat="false" ht="15" hidden="false" customHeight="false" outlineLevel="0" collapsed="false">
      <c r="A177" s="3" t="s">
        <v>221</v>
      </c>
      <c r="B177" s="10" t="s">
        <v>45</v>
      </c>
      <c r="C177" s="10" t="s">
        <v>41</v>
      </c>
      <c r="D177" s="11" t="n">
        <v>30000000</v>
      </c>
      <c r="E177" s="12" t="n">
        <v>4.0462</v>
      </c>
      <c r="F177" s="10" t="n">
        <v>2</v>
      </c>
      <c r="G177" s="10" t="n">
        <v>5</v>
      </c>
    </row>
    <row r="178" customFormat="false" ht="15" hidden="false" customHeight="false" outlineLevel="0" collapsed="false">
      <c r="A178" s="3" t="s">
        <v>222</v>
      </c>
      <c r="B178" s="10" t="s">
        <v>38</v>
      </c>
      <c r="C178" s="10" t="s">
        <v>53</v>
      </c>
      <c r="D178" s="11" t="n">
        <v>41000000</v>
      </c>
      <c r="E178" s="12" t="n">
        <v>5.6913</v>
      </c>
      <c r="F178" s="10" t="n">
        <v>1</v>
      </c>
      <c r="G178" s="10" t="n">
        <v>4</v>
      </c>
    </row>
    <row r="179" customFormat="false" ht="15" hidden="false" customHeight="false" outlineLevel="0" collapsed="false">
      <c r="A179" s="3" t="s">
        <v>223</v>
      </c>
      <c r="B179" s="10" t="s">
        <v>35</v>
      </c>
      <c r="C179" s="10" t="s">
        <v>53</v>
      </c>
      <c r="D179" s="11" t="n">
        <v>7000000</v>
      </c>
      <c r="E179" s="12" t="n">
        <v>4.2014</v>
      </c>
      <c r="F179" s="10" t="n">
        <v>3</v>
      </c>
      <c r="G179" s="10" t="n">
        <v>2</v>
      </c>
    </row>
    <row r="180" customFormat="false" ht="15" hidden="false" customHeight="false" outlineLevel="0" collapsed="false">
      <c r="A180" s="3" t="s">
        <v>224</v>
      </c>
      <c r="B180" s="10" t="s">
        <v>38</v>
      </c>
      <c r="C180" s="10" t="s">
        <v>60</v>
      </c>
      <c r="D180" s="11" t="n">
        <v>43000000</v>
      </c>
      <c r="E180" s="12" t="n">
        <v>5.8467</v>
      </c>
      <c r="F180" s="10" t="n">
        <v>3</v>
      </c>
      <c r="G180" s="10" t="n">
        <v>1</v>
      </c>
    </row>
    <row r="181" customFormat="false" ht="15" hidden="false" customHeight="false" outlineLevel="0" collapsed="false">
      <c r="A181" s="3" t="s">
        <v>225</v>
      </c>
      <c r="B181" s="10" t="s">
        <v>52</v>
      </c>
      <c r="C181" s="10" t="s">
        <v>43</v>
      </c>
      <c r="D181" s="11" t="n">
        <v>12000000</v>
      </c>
      <c r="E181" s="12" t="n">
        <v>5.0444</v>
      </c>
      <c r="F181" s="10" t="n">
        <v>1</v>
      </c>
      <c r="G181" s="10" t="n">
        <v>1</v>
      </c>
    </row>
    <row r="182" customFormat="false" ht="15" hidden="false" customHeight="false" outlineLevel="0" collapsed="false">
      <c r="A182" s="3" t="s">
        <v>226</v>
      </c>
      <c r="B182" s="10" t="s">
        <v>38</v>
      </c>
      <c r="C182" s="10" t="s">
        <v>60</v>
      </c>
      <c r="D182" s="11" t="n">
        <v>37000000</v>
      </c>
      <c r="E182" s="12" t="n">
        <v>5.9496</v>
      </c>
      <c r="F182" s="10" t="n">
        <v>2</v>
      </c>
      <c r="G182" s="10" t="n">
        <v>1</v>
      </c>
    </row>
    <row r="183" customFormat="false" ht="15" hidden="false" customHeight="false" outlineLevel="0" collapsed="false">
      <c r="A183" s="3" t="s">
        <v>227</v>
      </c>
      <c r="B183" s="10" t="s">
        <v>45</v>
      </c>
      <c r="C183" s="10" t="s">
        <v>43</v>
      </c>
      <c r="D183" s="11" t="n">
        <v>7000000</v>
      </c>
      <c r="E183" s="12" t="n">
        <v>5.6911</v>
      </c>
      <c r="F183" s="10" t="n">
        <v>3</v>
      </c>
      <c r="G183" s="10" t="n">
        <v>2</v>
      </c>
    </row>
    <row r="184" customFormat="false" ht="15" hidden="false" customHeight="false" outlineLevel="0" collapsed="false">
      <c r="A184" s="3" t="s">
        <v>228</v>
      </c>
      <c r="B184" s="10" t="s">
        <v>52</v>
      </c>
      <c r="C184" s="10" t="s">
        <v>53</v>
      </c>
      <c r="D184" s="11" t="n">
        <v>19000000</v>
      </c>
      <c r="E184" s="12" t="n">
        <v>1.638</v>
      </c>
      <c r="F184" s="10" t="n">
        <v>2</v>
      </c>
      <c r="G184" s="10" t="n">
        <v>0</v>
      </c>
    </row>
    <row r="185" customFormat="false" ht="15" hidden="false" customHeight="false" outlineLevel="0" collapsed="false">
      <c r="A185" s="3" t="s">
        <v>229</v>
      </c>
      <c r="B185" s="10" t="s">
        <v>45</v>
      </c>
      <c r="C185" s="10" t="s">
        <v>41</v>
      </c>
      <c r="D185" s="11" t="n">
        <v>2000000</v>
      </c>
      <c r="E185" s="12" t="n">
        <v>6.4498</v>
      </c>
      <c r="F185" s="10" t="n">
        <v>2</v>
      </c>
      <c r="G185" s="10" t="n">
        <v>0</v>
      </c>
    </row>
    <row r="186" customFormat="false" ht="15" hidden="false" customHeight="false" outlineLevel="0" collapsed="false">
      <c r="A186" s="3" t="s">
        <v>230</v>
      </c>
      <c r="B186" s="10" t="s">
        <v>52</v>
      </c>
      <c r="C186" s="10" t="s">
        <v>36</v>
      </c>
      <c r="D186" s="11" t="n">
        <v>5000000</v>
      </c>
      <c r="E186" s="12" t="n">
        <v>2.7008</v>
      </c>
      <c r="F186" s="10" t="n">
        <v>1</v>
      </c>
      <c r="G186" s="10" t="n">
        <v>0</v>
      </c>
    </row>
    <row r="187" customFormat="false" ht="15" hidden="false" customHeight="false" outlineLevel="0" collapsed="false">
      <c r="A187" s="3" t="s">
        <v>231</v>
      </c>
      <c r="B187" s="10" t="s">
        <v>47</v>
      </c>
      <c r="C187" s="10" t="s">
        <v>66</v>
      </c>
      <c r="D187" s="11" t="n">
        <v>44000000</v>
      </c>
      <c r="E187" s="12" t="n">
        <v>4.967</v>
      </c>
      <c r="F187" s="10" t="n">
        <v>3</v>
      </c>
      <c r="G187" s="10" t="n">
        <v>1</v>
      </c>
    </row>
    <row r="188" customFormat="false" ht="15" hidden="false" customHeight="false" outlineLevel="0" collapsed="false">
      <c r="A188" s="3" t="s">
        <v>232</v>
      </c>
      <c r="B188" s="10" t="s">
        <v>52</v>
      </c>
      <c r="C188" s="10" t="s">
        <v>33</v>
      </c>
      <c r="D188" s="11" t="n">
        <v>12000000</v>
      </c>
      <c r="E188" s="12" t="n">
        <v>4.3532</v>
      </c>
      <c r="F188" s="10" t="n">
        <v>3</v>
      </c>
      <c r="G188" s="10" t="n">
        <v>0</v>
      </c>
    </row>
    <row r="189" customFormat="false" ht="15" hidden="false" customHeight="false" outlineLevel="0" collapsed="false">
      <c r="A189" s="3" t="s">
        <v>233</v>
      </c>
      <c r="B189" s="10" t="s">
        <v>32</v>
      </c>
      <c r="C189" s="10" t="s">
        <v>66</v>
      </c>
      <c r="D189" s="11" t="n">
        <v>38000000</v>
      </c>
      <c r="E189" s="12" t="n">
        <v>5.0439</v>
      </c>
      <c r="F189" s="10" t="n">
        <v>1</v>
      </c>
      <c r="G189" s="10" t="n">
        <v>1</v>
      </c>
    </row>
    <row r="190" customFormat="false" ht="15" hidden="false" customHeight="false" outlineLevel="0" collapsed="false">
      <c r="A190" s="3" t="s">
        <v>234</v>
      </c>
      <c r="B190" s="10" t="s">
        <v>35</v>
      </c>
      <c r="C190" s="10" t="s">
        <v>33</v>
      </c>
      <c r="D190" s="11" t="n">
        <v>20000000</v>
      </c>
      <c r="E190" s="12" t="n">
        <v>1.3893</v>
      </c>
      <c r="F190" s="10" t="n">
        <v>3</v>
      </c>
      <c r="G190" s="10" t="n">
        <v>6</v>
      </c>
    </row>
    <row r="191" customFormat="false" ht="15" hidden="false" customHeight="false" outlineLevel="0" collapsed="false">
      <c r="A191" s="3" t="s">
        <v>235</v>
      </c>
      <c r="B191" s="10" t="s">
        <v>40</v>
      </c>
      <c r="C191" s="10" t="s">
        <v>66</v>
      </c>
      <c r="D191" s="11" t="n">
        <v>25000000</v>
      </c>
      <c r="E191" s="12" t="n">
        <v>5.5314</v>
      </c>
      <c r="F191" s="10" t="n">
        <v>2</v>
      </c>
      <c r="G191" s="10" t="n">
        <v>2</v>
      </c>
    </row>
    <row r="192" customFormat="false" ht="15" hidden="false" customHeight="false" outlineLevel="0" collapsed="false">
      <c r="A192" s="3" t="s">
        <v>236</v>
      </c>
      <c r="B192" s="10" t="s">
        <v>35</v>
      </c>
      <c r="C192" s="10" t="s">
        <v>49</v>
      </c>
      <c r="D192" s="11" t="n">
        <v>21000000</v>
      </c>
      <c r="E192" s="12" t="n">
        <v>4.9515</v>
      </c>
      <c r="F192" s="10" t="n">
        <v>3</v>
      </c>
      <c r="G192" s="10" t="n">
        <v>0</v>
      </c>
    </row>
    <row r="193" customFormat="false" ht="15" hidden="false" customHeight="false" outlineLevel="0" collapsed="false">
      <c r="A193" s="3" t="s">
        <v>237</v>
      </c>
      <c r="B193" s="10" t="s">
        <v>45</v>
      </c>
      <c r="C193" s="10" t="s">
        <v>33</v>
      </c>
      <c r="D193" s="11" t="n">
        <v>18000000</v>
      </c>
      <c r="E193" s="12" t="n">
        <v>4.074</v>
      </c>
      <c r="F193" s="10" t="n">
        <v>3</v>
      </c>
      <c r="G193" s="10" t="n">
        <v>0</v>
      </c>
    </row>
    <row r="194" customFormat="false" ht="15" hidden="false" customHeight="false" outlineLevel="0" collapsed="false">
      <c r="A194" s="3" t="s">
        <v>238</v>
      </c>
      <c r="B194" s="10" t="s">
        <v>52</v>
      </c>
      <c r="C194" s="10" t="s">
        <v>41</v>
      </c>
      <c r="D194" s="11" t="n">
        <v>30000000</v>
      </c>
      <c r="E194" s="12" t="n">
        <v>4.4631</v>
      </c>
      <c r="F194" s="10" t="n">
        <v>1</v>
      </c>
      <c r="G194" s="10" t="n">
        <v>3</v>
      </c>
    </row>
    <row r="195" customFormat="false" ht="15" hidden="false" customHeight="false" outlineLevel="0" collapsed="false">
      <c r="A195" s="3" t="s">
        <v>239</v>
      </c>
      <c r="B195" s="10" t="s">
        <v>40</v>
      </c>
      <c r="C195" s="10" t="s">
        <v>49</v>
      </c>
      <c r="D195" s="11" t="n">
        <v>14000000</v>
      </c>
      <c r="E195" s="12" t="n">
        <v>5.4092</v>
      </c>
      <c r="F195" s="10" t="n">
        <v>1</v>
      </c>
      <c r="G195" s="10" t="n">
        <v>0</v>
      </c>
    </row>
    <row r="196" customFormat="false" ht="15" hidden="false" customHeight="false" outlineLevel="0" collapsed="false">
      <c r="A196" s="3" t="s">
        <v>240</v>
      </c>
      <c r="B196" s="10" t="s">
        <v>35</v>
      </c>
      <c r="C196" s="10" t="s">
        <v>36</v>
      </c>
      <c r="D196" s="11" t="n">
        <v>27000000</v>
      </c>
      <c r="E196" s="12" t="n">
        <v>5.183</v>
      </c>
      <c r="F196" s="10" t="n">
        <v>2</v>
      </c>
      <c r="G196" s="10" t="n">
        <v>5</v>
      </c>
    </row>
    <row r="197" customFormat="false" ht="15" hidden="false" customHeight="false" outlineLevel="0" collapsed="false">
      <c r="A197" s="3" t="s">
        <v>241</v>
      </c>
      <c r="B197" s="10" t="s">
        <v>52</v>
      </c>
      <c r="C197" s="10" t="s">
        <v>36</v>
      </c>
      <c r="D197" s="11" t="n">
        <v>21000000</v>
      </c>
      <c r="E197" s="12" t="n">
        <v>1.7735</v>
      </c>
      <c r="F197" s="10" t="n">
        <v>1</v>
      </c>
      <c r="G197" s="10" t="n">
        <v>2</v>
      </c>
    </row>
    <row r="198" customFormat="false" ht="15" hidden="false" customHeight="false" outlineLevel="0" collapsed="false">
      <c r="A198" s="3" t="s">
        <v>242</v>
      </c>
      <c r="B198" s="10" t="s">
        <v>38</v>
      </c>
      <c r="C198" s="10" t="s">
        <v>53</v>
      </c>
      <c r="D198" s="11" t="n">
        <v>27000000</v>
      </c>
      <c r="E198" s="12" t="n">
        <v>5.0112</v>
      </c>
      <c r="F198" s="10" t="n">
        <v>3</v>
      </c>
      <c r="G198" s="10" t="n">
        <v>2</v>
      </c>
    </row>
    <row r="199" customFormat="false" ht="15" hidden="false" customHeight="false" outlineLevel="0" collapsed="false">
      <c r="A199" s="3" t="s">
        <v>243</v>
      </c>
      <c r="B199" s="10" t="s">
        <v>40</v>
      </c>
      <c r="C199" s="10" t="s">
        <v>33</v>
      </c>
      <c r="D199" s="11" t="n">
        <v>11000000</v>
      </c>
      <c r="E199" s="12" t="n">
        <v>1.5018</v>
      </c>
      <c r="F199" s="10" t="n">
        <v>3</v>
      </c>
      <c r="G199" s="10" t="n">
        <v>0</v>
      </c>
    </row>
    <row r="200" customFormat="false" ht="15" hidden="false" customHeight="false" outlineLevel="0" collapsed="false">
      <c r="A200" s="3" t="s">
        <v>244</v>
      </c>
      <c r="B200" s="10" t="s">
        <v>38</v>
      </c>
      <c r="C200" s="10" t="s">
        <v>49</v>
      </c>
      <c r="D200" s="11" t="n">
        <v>49000000</v>
      </c>
      <c r="E200" s="12" t="n">
        <v>3.3558</v>
      </c>
      <c r="F200" s="10" t="n">
        <v>1</v>
      </c>
      <c r="G200" s="10" t="n">
        <v>4</v>
      </c>
    </row>
    <row r="201" customFormat="false" ht="15" hidden="false" customHeight="false" outlineLevel="0" collapsed="false">
      <c r="A201" s="3" t="s">
        <v>245</v>
      </c>
      <c r="B201" s="10" t="s">
        <v>35</v>
      </c>
      <c r="C201" s="10" t="s">
        <v>60</v>
      </c>
      <c r="D201" s="11" t="n">
        <v>37000000</v>
      </c>
      <c r="E201" s="12" t="n">
        <v>1.2159</v>
      </c>
      <c r="F201" s="10" t="n">
        <v>1</v>
      </c>
      <c r="G201" s="10" t="n">
        <v>0</v>
      </c>
    </row>
    <row r="202" customFormat="false" ht="15" hidden="false" customHeight="false" outlineLevel="0" collapsed="false">
      <c r="A202" s="3" t="s">
        <v>246</v>
      </c>
      <c r="B202" s="10" t="s">
        <v>32</v>
      </c>
      <c r="C202" s="10" t="s">
        <v>60</v>
      </c>
      <c r="D202" s="11" t="n">
        <v>48000000</v>
      </c>
      <c r="E202" s="12" t="n">
        <v>6.2719</v>
      </c>
      <c r="F202" s="10" t="n">
        <v>1</v>
      </c>
      <c r="G202" s="10" t="n">
        <v>1</v>
      </c>
    </row>
    <row r="203" customFormat="false" ht="15" hidden="false" customHeight="false" outlineLevel="0" collapsed="false">
      <c r="A203" s="3" t="s">
        <v>247</v>
      </c>
      <c r="B203" s="10" t="s">
        <v>52</v>
      </c>
      <c r="C203" s="10" t="s">
        <v>41</v>
      </c>
      <c r="D203" s="11" t="n">
        <v>30000000</v>
      </c>
      <c r="E203" s="12" t="n">
        <v>1.9252</v>
      </c>
      <c r="F203" s="10" t="n">
        <v>1</v>
      </c>
      <c r="G203" s="10" t="n">
        <v>0</v>
      </c>
    </row>
    <row r="204" customFormat="false" ht="15" hidden="false" customHeight="false" outlineLevel="0" collapsed="false">
      <c r="A204" s="3" t="s">
        <v>248</v>
      </c>
      <c r="B204" s="10" t="s">
        <v>40</v>
      </c>
      <c r="C204" s="10" t="s">
        <v>49</v>
      </c>
      <c r="D204" s="11" t="n">
        <v>45000000</v>
      </c>
      <c r="E204" s="12" t="n">
        <v>3.3333</v>
      </c>
      <c r="F204" s="10" t="n">
        <v>2</v>
      </c>
      <c r="G204" s="10" t="n">
        <v>7</v>
      </c>
    </row>
    <row r="205" customFormat="false" ht="15" hidden="false" customHeight="false" outlineLevel="0" collapsed="false">
      <c r="A205" s="3" t="s">
        <v>249</v>
      </c>
      <c r="B205" s="10" t="s">
        <v>35</v>
      </c>
      <c r="C205" s="10" t="s">
        <v>33</v>
      </c>
      <c r="D205" s="11" t="n">
        <v>31000000</v>
      </c>
      <c r="E205" s="12" t="n">
        <v>1.7989</v>
      </c>
      <c r="F205" s="10" t="n">
        <v>2</v>
      </c>
      <c r="G205" s="10" t="n">
        <v>0</v>
      </c>
    </row>
    <row r="206" customFormat="false" ht="15" hidden="false" customHeight="false" outlineLevel="0" collapsed="false">
      <c r="A206" s="3" t="s">
        <v>250</v>
      </c>
      <c r="B206" s="10" t="s">
        <v>45</v>
      </c>
      <c r="C206" s="10" t="s">
        <v>53</v>
      </c>
      <c r="D206" s="11" t="n">
        <v>20000000</v>
      </c>
      <c r="E206" s="12" t="n">
        <v>4.9479</v>
      </c>
      <c r="F206" s="10" t="n">
        <v>3</v>
      </c>
      <c r="G206" s="10" t="n">
        <v>0</v>
      </c>
    </row>
    <row r="207" customFormat="false" ht="15" hidden="false" customHeight="false" outlineLevel="0" collapsed="false">
      <c r="A207" s="3" t="s">
        <v>251</v>
      </c>
      <c r="B207" s="10" t="s">
        <v>47</v>
      </c>
      <c r="C207" s="10" t="s">
        <v>36</v>
      </c>
      <c r="D207" s="11" t="n">
        <v>14000000</v>
      </c>
      <c r="E207" s="12" t="n">
        <v>2.4541</v>
      </c>
      <c r="F207" s="10" t="n">
        <v>3</v>
      </c>
      <c r="G207" s="10" t="n">
        <v>0</v>
      </c>
    </row>
    <row r="208" customFormat="false" ht="15" hidden="false" customHeight="false" outlineLevel="0" collapsed="false">
      <c r="A208" s="3" t="s">
        <v>252</v>
      </c>
      <c r="B208" s="10" t="s">
        <v>40</v>
      </c>
      <c r="C208" s="10" t="s">
        <v>36</v>
      </c>
      <c r="D208" s="11" t="n">
        <v>42000000</v>
      </c>
      <c r="E208" s="12" t="n">
        <v>1.9349</v>
      </c>
      <c r="F208" s="10" t="n">
        <v>3</v>
      </c>
      <c r="G208" s="10" t="n">
        <v>0</v>
      </c>
    </row>
    <row r="209" customFormat="false" ht="15" hidden="false" customHeight="false" outlineLevel="0" collapsed="false">
      <c r="A209" s="3" t="s">
        <v>253</v>
      </c>
      <c r="B209" s="10" t="s">
        <v>47</v>
      </c>
      <c r="C209" s="10" t="s">
        <v>43</v>
      </c>
      <c r="D209" s="11" t="n">
        <v>34000000</v>
      </c>
      <c r="E209" s="12" t="n">
        <v>3.2035</v>
      </c>
      <c r="F209" s="10" t="n">
        <v>3</v>
      </c>
      <c r="G209" s="10" t="n">
        <v>0</v>
      </c>
    </row>
    <row r="210" customFormat="false" ht="15" hidden="false" customHeight="false" outlineLevel="0" collapsed="false">
      <c r="A210" s="3" t="s">
        <v>254</v>
      </c>
      <c r="B210" s="10" t="s">
        <v>32</v>
      </c>
      <c r="C210" s="10" t="s">
        <v>49</v>
      </c>
      <c r="D210" s="11" t="n">
        <v>9000000</v>
      </c>
      <c r="E210" s="12" t="n">
        <v>4.4927</v>
      </c>
      <c r="F210" s="10" t="n">
        <v>3</v>
      </c>
      <c r="G210" s="10" t="n">
        <v>3</v>
      </c>
    </row>
    <row r="211" customFormat="false" ht="15" hidden="false" customHeight="false" outlineLevel="0" collapsed="false">
      <c r="A211" s="3" t="s">
        <v>255</v>
      </c>
      <c r="B211" s="10" t="s">
        <v>40</v>
      </c>
      <c r="C211" s="10" t="s">
        <v>41</v>
      </c>
      <c r="D211" s="11" t="n">
        <v>23000000</v>
      </c>
      <c r="E211" s="12" t="n">
        <v>2.9643</v>
      </c>
      <c r="F211" s="10" t="n">
        <v>3</v>
      </c>
      <c r="G211" s="10" t="n">
        <v>5</v>
      </c>
    </row>
    <row r="212" customFormat="false" ht="15" hidden="false" customHeight="false" outlineLevel="0" collapsed="false">
      <c r="A212" s="3" t="s">
        <v>256</v>
      </c>
      <c r="B212" s="10" t="s">
        <v>52</v>
      </c>
      <c r="C212" s="10" t="s">
        <v>33</v>
      </c>
      <c r="D212" s="11" t="n">
        <v>19000000</v>
      </c>
      <c r="E212" s="12" t="n">
        <v>6.9332</v>
      </c>
      <c r="F212" s="10" t="n">
        <v>2</v>
      </c>
      <c r="G212" s="10" t="n">
        <v>4</v>
      </c>
    </row>
    <row r="213" customFormat="false" ht="15" hidden="false" customHeight="false" outlineLevel="0" collapsed="false">
      <c r="A213" s="3" t="s">
        <v>257</v>
      </c>
      <c r="B213" s="10" t="s">
        <v>32</v>
      </c>
      <c r="C213" s="10" t="s">
        <v>33</v>
      </c>
      <c r="D213" s="11" t="n">
        <v>27000000</v>
      </c>
      <c r="E213" s="12" t="n">
        <v>6.9083</v>
      </c>
      <c r="F213" s="10" t="n">
        <v>3</v>
      </c>
      <c r="G213" s="10" t="n">
        <v>0</v>
      </c>
    </row>
    <row r="214" customFormat="false" ht="15" hidden="false" customHeight="false" outlineLevel="0" collapsed="false">
      <c r="A214" s="3" t="s">
        <v>258</v>
      </c>
      <c r="B214" s="10" t="s">
        <v>38</v>
      </c>
      <c r="C214" s="10" t="s">
        <v>43</v>
      </c>
      <c r="D214" s="11" t="n">
        <v>9000000</v>
      </c>
      <c r="E214" s="12" t="n">
        <v>1.5063</v>
      </c>
      <c r="F214" s="10" t="n">
        <v>1</v>
      </c>
      <c r="G214" s="10" t="n">
        <v>8</v>
      </c>
    </row>
    <row r="215" customFormat="false" ht="15" hidden="false" customHeight="false" outlineLevel="0" collapsed="false">
      <c r="A215" s="3" t="s">
        <v>259</v>
      </c>
      <c r="B215" s="10" t="s">
        <v>40</v>
      </c>
      <c r="C215" s="10" t="s">
        <v>49</v>
      </c>
      <c r="D215" s="11" t="n">
        <v>44000000</v>
      </c>
      <c r="E215" s="12" t="n">
        <v>5.4315</v>
      </c>
      <c r="F215" s="10" t="n">
        <v>1</v>
      </c>
      <c r="G215" s="10" t="n">
        <v>4</v>
      </c>
    </row>
    <row r="216" customFormat="false" ht="15" hidden="false" customHeight="false" outlineLevel="0" collapsed="false">
      <c r="A216" s="3" t="s">
        <v>260</v>
      </c>
      <c r="B216" s="10" t="s">
        <v>35</v>
      </c>
      <c r="C216" s="10" t="s">
        <v>60</v>
      </c>
      <c r="D216" s="11" t="n">
        <v>30000000</v>
      </c>
      <c r="E216" s="12" t="n">
        <v>5.8806</v>
      </c>
      <c r="F216" s="10" t="n">
        <v>1</v>
      </c>
      <c r="G216" s="10" t="n">
        <v>1</v>
      </c>
    </row>
    <row r="217" customFormat="false" ht="15" hidden="false" customHeight="false" outlineLevel="0" collapsed="false">
      <c r="A217" s="3" t="s">
        <v>261</v>
      </c>
      <c r="B217" s="10" t="s">
        <v>35</v>
      </c>
      <c r="C217" s="10" t="s">
        <v>43</v>
      </c>
      <c r="D217" s="11" t="n">
        <v>5000000</v>
      </c>
      <c r="E217" s="12" t="n">
        <v>5.0609</v>
      </c>
      <c r="F217" s="10" t="n">
        <v>3</v>
      </c>
      <c r="G217" s="10" t="n">
        <v>2</v>
      </c>
    </row>
    <row r="218" customFormat="false" ht="15" hidden="false" customHeight="false" outlineLevel="0" collapsed="false">
      <c r="A218" s="3" t="s">
        <v>262</v>
      </c>
      <c r="B218" s="10" t="s">
        <v>52</v>
      </c>
      <c r="C218" s="10" t="s">
        <v>49</v>
      </c>
      <c r="D218" s="11" t="n">
        <v>15000000</v>
      </c>
      <c r="E218" s="12" t="n">
        <v>2.9695</v>
      </c>
      <c r="F218" s="10" t="n">
        <v>1</v>
      </c>
      <c r="G218" s="10" t="n">
        <v>0</v>
      </c>
    </row>
    <row r="219" customFormat="false" ht="15" hidden="false" customHeight="false" outlineLevel="0" collapsed="false">
      <c r="A219" s="3" t="s">
        <v>263</v>
      </c>
      <c r="B219" s="10" t="s">
        <v>38</v>
      </c>
      <c r="C219" s="10" t="s">
        <v>33</v>
      </c>
      <c r="D219" s="11" t="n">
        <v>21000000</v>
      </c>
      <c r="E219" s="12" t="n">
        <v>2.9483</v>
      </c>
      <c r="F219" s="10" t="n">
        <v>1</v>
      </c>
      <c r="G219" s="10" t="n">
        <v>4</v>
      </c>
    </row>
    <row r="220" customFormat="false" ht="15" hidden="false" customHeight="false" outlineLevel="0" collapsed="false">
      <c r="A220" s="3" t="s">
        <v>264</v>
      </c>
      <c r="B220" s="10" t="s">
        <v>40</v>
      </c>
      <c r="C220" s="10" t="s">
        <v>53</v>
      </c>
      <c r="D220" s="11" t="n">
        <v>28000000</v>
      </c>
      <c r="E220" s="12" t="n">
        <v>6.6578</v>
      </c>
      <c r="F220" s="10" t="n">
        <v>1</v>
      </c>
      <c r="G220" s="10" t="n">
        <v>3</v>
      </c>
    </row>
    <row r="221" customFormat="false" ht="15" hidden="false" customHeight="false" outlineLevel="0" collapsed="false">
      <c r="A221" s="3" t="s">
        <v>265</v>
      </c>
      <c r="B221" s="10" t="s">
        <v>32</v>
      </c>
      <c r="C221" s="10" t="s">
        <v>43</v>
      </c>
      <c r="D221" s="11" t="n">
        <v>49000000</v>
      </c>
      <c r="E221" s="12" t="n">
        <v>2.6351</v>
      </c>
      <c r="F221" s="10" t="n">
        <v>1</v>
      </c>
      <c r="G221" s="10" t="n">
        <v>1</v>
      </c>
    </row>
    <row r="222" customFormat="false" ht="15" hidden="false" customHeight="false" outlineLevel="0" collapsed="false">
      <c r="A222" s="3" t="s">
        <v>266</v>
      </c>
      <c r="B222" s="10" t="s">
        <v>32</v>
      </c>
      <c r="C222" s="10" t="s">
        <v>43</v>
      </c>
      <c r="D222" s="11" t="n">
        <v>39000000</v>
      </c>
      <c r="E222" s="12" t="n">
        <v>2.0373</v>
      </c>
      <c r="F222" s="10" t="n">
        <v>1</v>
      </c>
      <c r="G222" s="10" t="n">
        <v>5</v>
      </c>
    </row>
    <row r="223" customFormat="false" ht="15" hidden="false" customHeight="false" outlineLevel="0" collapsed="false">
      <c r="A223" s="3" t="s">
        <v>267</v>
      </c>
      <c r="B223" s="10" t="s">
        <v>35</v>
      </c>
      <c r="C223" s="10" t="s">
        <v>43</v>
      </c>
      <c r="D223" s="11" t="n">
        <v>15000000</v>
      </c>
      <c r="E223" s="12" t="n">
        <v>1.1438</v>
      </c>
      <c r="F223" s="10" t="n">
        <v>1</v>
      </c>
      <c r="G223" s="10" t="n">
        <v>2</v>
      </c>
    </row>
    <row r="224" customFormat="false" ht="15" hidden="false" customHeight="false" outlineLevel="0" collapsed="false">
      <c r="A224" s="3" t="s">
        <v>268</v>
      </c>
      <c r="B224" s="10" t="s">
        <v>52</v>
      </c>
      <c r="C224" s="10" t="s">
        <v>53</v>
      </c>
      <c r="D224" s="11" t="n">
        <v>31000000</v>
      </c>
      <c r="E224" s="12" t="n">
        <v>2.058</v>
      </c>
      <c r="F224" s="10" t="n">
        <v>2</v>
      </c>
      <c r="G224" s="10" t="n">
        <v>1</v>
      </c>
    </row>
    <row r="225" customFormat="false" ht="15" hidden="false" customHeight="false" outlineLevel="0" collapsed="false">
      <c r="A225" s="3" t="s">
        <v>269</v>
      </c>
      <c r="B225" s="10" t="s">
        <v>45</v>
      </c>
      <c r="C225" s="10" t="s">
        <v>41</v>
      </c>
      <c r="D225" s="11" t="n">
        <v>7000000</v>
      </c>
      <c r="E225" s="12" t="n">
        <v>3.5959</v>
      </c>
      <c r="F225" s="10" t="n">
        <v>3</v>
      </c>
      <c r="G225" s="10" t="n">
        <v>1</v>
      </c>
    </row>
    <row r="226" customFormat="false" ht="15" hidden="false" customHeight="false" outlineLevel="0" collapsed="false">
      <c r="A226" s="3" t="s">
        <v>270</v>
      </c>
      <c r="B226" s="10" t="s">
        <v>38</v>
      </c>
      <c r="C226" s="10" t="s">
        <v>49</v>
      </c>
      <c r="D226" s="11" t="n">
        <v>26000000</v>
      </c>
      <c r="E226" s="12" t="n">
        <v>4.026</v>
      </c>
      <c r="F226" s="10" t="n">
        <v>1</v>
      </c>
      <c r="G226" s="10" t="n">
        <v>0</v>
      </c>
    </row>
    <row r="227" customFormat="false" ht="15" hidden="false" customHeight="false" outlineLevel="0" collapsed="false">
      <c r="A227" s="3" t="s">
        <v>271</v>
      </c>
      <c r="B227" s="10" t="s">
        <v>47</v>
      </c>
      <c r="C227" s="10" t="s">
        <v>36</v>
      </c>
      <c r="D227" s="11" t="n">
        <v>42000000</v>
      </c>
      <c r="E227" s="12" t="n">
        <v>1.6498</v>
      </c>
      <c r="F227" s="10" t="n">
        <v>2</v>
      </c>
      <c r="G227" s="10" t="n">
        <v>6</v>
      </c>
    </row>
    <row r="228" customFormat="false" ht="15" hidden="false" customHeight="false" outlineLevel="0" collapsed="false">
      <c r="A228" s="3" t="s">
        <v>272</v>
      </c>
      <c r="B228" s="10" t="s">
        <v>32</v>
      </c>
      <c r="C228" s="10" t="s">
        <v>33</v>
      </c>
      <c r="D228" s="11" t="n">
        <v>6000000</v>
      </c>
      <c r="E228" s="12" t="n">
        <v>3.3471</v>
      </c>
      <c r="F228" s="10" t="n">
        <v>1</v>
      </c>
      <c r="G228" s="10" t="n">
        <v>5</v>
      </c>
    </row>
    <row r="229" customFormat="false" ht="15" hidden="false" customHeight="false" outlineLevel="0" collapsed="false">
      <c r="A229" s="3" t="s">
        <v>273</v>
      </c>
      <c r="B229" s="10" t="s">
        <v>32</v>
      </c>
      <c r="C229" s="10" t="s">
        <v>60</v>
      </c>
      <c r="D229" s="11" t="n">
        <v>40000000</v>
      </c>
      <c r="E229" s="12" t="n">
        <v>4.9098</v>
      </c>
      <c r="F229" s="10" t="n">
        <v>2</v>
      </c>
      <c r="G229" s="10" t="n">
        <v>1</v>
      </c>
    </row>
    <row r="230" customFormat="false" ht="15" hidden="false" customHeight="false" outlineLevel="0" collapsed="false">
      <c r="A230" s="3" t="s">
        <v>274</v>
      </c>
      <c r="B230" s="10" t="s">
        <v>38</v>
      </c>
      <c r="C230" s="10" t="s">
        <v>60</v>
      </c>
      <c r="D230" s="11" t="n">
        <v>2000000</v>
      </c>
      <c r="E230" s="12" t="n">
        <v>5.8108</v>
      </c>
      <c r="F230" s="10" t="n">
        <v>1</v>
      </c>
      <c r="G230" s="10" t="n">
        <v>3</v>
      </c>
    </row>
    <row r="231" customFormat="false" ht="15" hidden="false" customHeight="false" outlineLevel="0" collapsed="false">
      <c r="A231" s="3" t="s">
        <v>275</v>
      </c>
      <c r="B231" s="10" t="s">
        <v>45</v>
      </c>
      <c r="C231" s="10" t="s">
        <v>36</v>
      </c>
      <c r="D231" s="11" t="n">
        <v>1000000</v>
      </c>
      <c r="E231" s="12" t="n">
        <v>3.0772</v>
      </c>
      <c r="F231" s="10" t="n">
        <v>3</v>
      </c>
      <c r="G231" s="10" t="n">
        <v>0</v>
      </c>
    </row>
    <row r="232" customFormat="false" ht="15" hidden="false" customHeight="false" outlineLevel="0" collapsed="false">
      <c r="A232" s="3" t="s">
        <v>276</v>
      </c>
      <c r="B232" s="10" t="s">
        <v>38</v>
      </c>
      <c r="C232" s="10" t="s">
        <v>36</v>
      </c>
      <c r="D232" s="11" t="n">
        <v>17000000</v>
      </c>
      <c r="E232" s="12" t="n">
        <v>4.079</v>
      </c>
      <c r="F232" s="10" t="n">
        <v>2</v>
      </c>
      <c r="G232" s="10" t="n">
        <v>3</v>
      </c>
    </row>
    <row r="233" customFormat="false" ht="15" hidden="false" customHeight="false" outlineLevel="0" collapsed="false">
      <c r="A233" s="3" t="s">
        <v>277</v>
      </c>
      <c r="B233" s="10" t="s">
        <v>32</v>
      </c>
      <c r="C233" s="10" t="s">
        <v>49</v>
      </c>
      <c r="D233" s="11" t="n">
        <v>16000000</v>
      </c>
      <c r="E233" s="12" t="n">
        <v>6.6584</v>
      </c>
      <c r="F233" s="10" t="n">
        <v>1</v>
      </c>
      <c r="G233" s="10" t="n">
        <v>2</v>
      </c>
    </row>
    <row r="234" customFormat="false" ht="15" hidden="false" customHeight="false" outlineLevel="0" collapsed="false">
      <c r="A234" s="3" t="s">
        <v>278</v>
      </c>
      <c r="B234" s="10" t="s">
        <v>40</v>
      </c>
      <c r="C234" s="10" t="s">
        <v>66</v>
      </c>
      <c r="D234" s="11" t="n">
        <v>36000000</v>
      </c>
      <c r="E234" s="12" t="n">
        <v>4.9571</v>
      </c>
      <c r="F234" s="10" t="n">
        <v>2</v>
      </c>
      <c r="G234" s="10" t="n">
        <v>2</v>
      </c>
    </row>
    <row r="235" customFormat="false" ht="15" hidden="false" customHeight="false" outlineLevel="0" collapsed="false">
      <c r="A235" s="3" t="s">
        <v>279</v>
      </c>
      <c r="B235" s="10" t="s">
        <v>38</v>
      </c>
      <c r="C235" s="10" t="s">
        <v>49</v>
      </c>
      <c r="D235" s="11" t="n">
        <v>6000000</v>
      </c>
      <c r="E235" s="12" t="n">
        <v>5.1489</v>
      </c>
      <c r="F235" s="10" t="n">
        <v>2</v>
      </c>
      <c r="G235" s="10" t="n">
        <v>3</v>
      </c>
    </row>
    <row r="236" customFormat="false" ht="15" hidden="false" customHeight="false" outlineLevel="0" collapsed="false">
      <c r="A236" s="3" t="s">
        <v>280</v>
      </c>
      <c r="B236" s="10" t="s">
        <v>52</v>
      </c>
      <c r="C236" s="10" t="s">
        <v>33</v>
      </c>
      <c r="D236" s="11" t="n">
        <v>34000000</v>
      </c>
      <c r="E236" s="12" t="n">
        <v>1.1361</v>
      </c>
      <c r="F236" s="10" t="n">
        <v>3</v>
      </c>
      <c r="G236" s="10" t="n">
        <v>0</v>
      </c>
    </row>
    <row r="237" customFormat="false" ht="15" hidden="false" customHeight="false" outlineLevel="0" collapsed="false">
      <c r="A237" s="3" t="s">
        <v>281</v>
      </c>
      <c r="B237" s="10" t="s">
        <v>47</v>
      </c>
      <c r="C237" s="10" t="s">
        <v>33</v>
      </c>
      <c r="D237" s="11" t="n">
        <v>8000000</v>
      </c>
      <c r="E237" s="12" t="n">
        <v>6.6507</v>
      </c>
      <c r="F237" s="10" t="n">
        <v>1</v>
      </c>
      <c r="G237" s="10" t="n">
        <v>1</v>
      </c>
    </row>
    <row r="238" customFormat="false" ht="15" hidden="false" customHeight="false" outlineLevel="0" collapsed="false">
      <c r="A238" s="3" t="s">
        <v>282</v>
      </c>
      <c r="B238" s="10" t="s">
        <v>38</v>
      </c>
      <c r="C238" s="10" t="s">
        <v>33</v>
      </c>
      <c r="D238" s="11" t="n">
        <v>34000000</v>
      </c>
      <c r="E238" s="12" t="n">
        <v>3.683</v>
      </c>
      <c r="F238" s="10" t="n">
        <v>3</v>
      </c>
      <c r="G238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9" t="s">
        <v>26</v>
      </c>
      <c r="B1" s="9" t="s">
        <v>27</v>
      </c>
      <c r="C1" s="9" t="s">
        <v>10</v>
      </c>
      <c r="D1" s="9" t="s">
        <v>28</v>
      </c>
      <c r="E1" s="9" t="s">
        <v>14</v>
      </c>
      <c r="F1" s="9" t="s">
        <v>29</v>
      </c>
      <c r="G1" s="9" t="s">
        <v>30</v>
      </c>
    </row>
    <row r="2" customFormat="false" ht="15" hidden="false" customHeight="false" outlineLevel="0" collapsed="false">
      <c r="A2" s="3" t="s">
        <v>31</v>
      </c>
      <c r="B2" s="10" t="s">
        <v>32</v>
      </c>
      <c r="C2" s="10" t="s">
        <v>33</v>
      </c>
      <c r="D2" s="11" t="n">
        <v>28000000</v>
      </c>
      <c r="E2" s="12" t="n">
        <v>5.1415</v>
      </c>
      <c r="F2" s="10" t="n">
        <v>1</v>
      </c>
      <c r="G2" s="10" t="n">
        <v>0</v>
      </c>
    </row>
    <row r="3" customFormat="false" ht="15" hidden="false" customHeight="false" outlineLevel="0" collapsed="false">
      <c r="A3" s="3" t="s">
        <v>34</v>
      </c>
      <c r="B3" s="10" t="s">
        <v>35</v>
      </c>
      <c r="C3" s="10" t="s">
        <v>36</v>
      </c>
      <c r="D3" s="11" t="n">
        <v>19000000</v>
      </c>
      <c r="E3" s="12" t="n">
        <v>1.3863</v>
      </c>
      <c r="F3" s="10" t="n">
        <v>2</v>
      </c>
      <c r="G3" s="10" t="n">
        <v>1</v>
      </c>
    </row>
    <row r="4" customFormat="false" ht="15" hidden="false" customHeight="false" outlineLevel="0" collapsed="false">
      <c r="A4" s="3" t="s">
        <v>37</v>
      </c>
      <c r="B4" s="10" t="s">
        <v>38</v>
      </c>
      <c r="C4" s="10" t="s">
        <v>33</v>
      </c>
      <c r="D4" s="11" t="n">
        <v>25000000</v>
      </c>
      <c r="E4" s="12" t="n">
        <v>2.638</v>
      </c>
      <c r="F4" s="10" t="n">
        <v>2</v>
      </c>
      <c r="G4" s="10" t="n">
        <v>2</v>
      </c>
    </row>
    <row r="5" customFormat="false" ht="15" hidden="false" customHeight="false" outlineLevel="0" collapsed="false">
      <c r="A5" s="3" t="s">
        <v>39</v>
      </c>
      <c r="B5" s="10" t="s">
        <v>40</v>
      </c>
      <c r="C5" s="10" t="s">
        <v>41</v>
      </c>
      <c r="D5" s="11" t="n">
        <v>14000000</v>
      </c>
      <c r="E5" s="12" t="n">
        <v>6.7727</v>
      </c>
      <c r="F5" s="10" t="n">
        <v>1</v>
      </c>
      <c r="G5" s="10" t="n">
        <v>3</v>
      </c>
    </row>
    <row r="6" customFormat="false" ht="15" hidden="false" customHeight="false" outlineLevel="0" collapsed="false">
      <c r="A6" s="3" t="s">
        <v>42</v>
      </c>
      <c r="B6" s="10" t="s">
        <v>35</v>
      </c>
      <c r="C6" s="10" t="s">
        <v>43</v>
      </c>
      <c r="D6" s="11" t="n">
        <v>35000000</v>
      </c>
      <c r="E6" s="12" t="n">
        <v>3.365</v>
      </c>
      <c r="F6" s="10" t="n">
        <v>3</v>
      </c>
      <c r="G6" s="10" t="n">
        <v>1</v>
      </c>
    </row>
    <row r="7" customFormat="false" ht="15" hidden="false" customHeight="false" outlineLevel="0" collapsed="false">
      <c r="A7" s="3" t="s">
        <v>44</v>
      </c>
      <c r="B7" s="10" t="s">
        <v>45</v>
      </c>
      <c r="C7" s="10" t="s">
        <v>36</v>
      </c>
      <c r="D7" s="11" t="n">
        <v>38000000</v>
      </c>
      <c r="E7" s="12" t="n">
        <v>2.6629</v>
      </c>
      <c r="F7" s="10" t="n">
        <v>2</v>
      </c>
      <c r="G7" s="10" t="n">
        <v>3</v>
      </c>
    </row>
    <row r="8" customFormat="false" ht="15" hidden="false" customHeight="false" outlineLevel="0" collapsed="false">
      <c r="A8" s="3" t="s">
        <v>46</v>
      </c>
      <c r="B8" s="10" t="s">
        <v>47</v>
      </c>
      <c r="C8" s="10" t="s">
        <v>36</v>
      </c>
      <c r="D8" s="11" t="n">
        <v>50000000</v>
      </c>
      <c r="E8" s="12" t="n">
        <v>4.2661</v>
      </c>
      <c r="F8" s="10" t="n">
        <v>1</v>
      </c>
      <c r="G8" s="10" t="n">
        <v>5</v>
      </c>
    </row>
    <row r="9" customFormat="false" ht="15" hidden="false" customHeight="false" outlineLevel="0" collapsed="false">
      <c r="A9" s="3" t="s">
        <v>48</v>
      </c>
      <c r="B9" s="10" t="s">
        <v>45</v>
      </c>
      <c r="C9" s="10" t="s">
        <v>49</v>
      </c>
      <c r="D9" s="11" t="n">
        <v>37000000</v>
      </c>
      <c r="E9" s="12" t="n">
        <v>4.6811</v>
      </c>
      <c r="F9" s="10" t="n">
        <v>3</v>
      </c>
      <c r="G9" s="10" t="n">
        <v>1</v>
      </c>
    </row>
    <row r="10" customFormat="false" ht="15" hidden="false" customHeight="false" outlineLevel="0" collapsed="false">
      <c r="A10" s="3" t="s">
        <v>50</v>
      </c>
      <c r="B10" s="10" t="s">
        <v>32</v>
      </c>
      <c r="C10" s="10" t="s">
        <v>36</v>
      </c>
      <c r="D10" s="11" t="n">
        <v>18769137</v>
      </c>
      <c r="E10" s="12" t="n">
        <v>3.0089</v>
      </c>
      <c r="F10" s="10" t="n">
        <v>3</v>
      </c>
      <c r="G10" s="10" t="n">
        <v>0</v>
      </c>
    </row>
    <row r="11" customFormat="false" ht="15" hidden="false" customHeight="false" outlineLevel="0" collapsed="false">
      <c r="A11" s="3" t="s">
        <v>51</v>
      </c>
      <c r="B11" s="10" t="s">
        <v>52</v>
      </c>
      <c r="C11" s="10" t="s">
        <v>53</v>
      </c>
      <c r="D11" s="11" t="n">
        <v>50000000</v>
      </c>
      <c r="E11" s="12" t="n">
        <v>5.9933</v>
      </c>
      <c r="F11" s="10" t="n">
        <v>1</v>
      </c>
      <c r="G11" s="10" t="n">
        <v>4</v>
      </c>
    </row>
    <row r="12" customFormat="false" ht="15" hidden="false" customHeight="false" outlineLevel="0" collapsed="false">
      <c r="A12" s="3" t="s">
        <v>54</v>
      </c>
      <c r="B12" s="10" t="s">
        <v>47</v>
      </c>
      <c r="C12" s="10" t="s">
        <v>53</v>
      </c>
      <c r="D12" s="11" t="n">
        <v>21000000</v>
      </c>
      <c r="E12" s="12" t="n">
        <v>5.1547</v>
      </c>
      <c r="F12" s="10" t="n">
        <v>2</v>
      </c>
      <c r="G12" s="10" t="n">
        <v>3</v>
      </c>
    </row>
    <row r="13" customFormat="false" ht="15" hidden="false" customHeight="false" outlineLevel="0" collapsed="false">
      <c r="A13" s="3" t="s">
        <v>55</v>
      </c>
      <c r="B13" s="10" t="s">
        <v>47</v>
      </c>
      <c r="C13" s="10" t="s">
        <v>53</v>
      </c>
      <c r="D13" s="11" t="n">
        <v>43000000</v>
      </c>
      <c r="E13" s="12" t="n">
        <v>3.1705</v>
      </c>
      <c r="F13" s="10" t="n">
        <v>3</v>
      </c>
      <c r="G13" s="10" t="n">
        <v>6</v>
      </c>
    </row>
    <row r="14" customFormat="false" ht="15" hidden="false" customHeight="false" outlineLevel="0" collapsed="false">
      <c r="A14" s="3" t="s">
        <v>56</v>
      </c>
      <c r="B14" s="10" t="s">
        <v>40</v>
      </c>
      <c r="C14" s="10" t="s">
        <v>49</v>
      </c>
      <c r="D14" s="11" t="n">
        <v>3000000</v>
      </c>
      <c r="E14" s="12" t="n">
        <v>6.0342</v>
      </c>
      <c r="F14" s="10" t="n">
        <v>2</v>
      </c>
      <c r="G14" s="10" t="n">
        <v>1</v>
      </c>
    </row>
    <row r="15" customFormat="false" ht="15" hidden="false" customHeight="false" outlineLevel="0" collapsed="false">
      <c r="A15" s="3" t="s">
        <v>57</v>
      </c>
      <c r="B15" s="10" t="s">
        <v>35</v>
      </c>
      <c r="C15" s="10" t="s">
        <v>53</v>
      </c>
      <c r="D15" s="11" t="n">
        <v>27000000</v>
      </c>
      <c r="E15" s="12" t="n">
        <v>2.9032</v>
      </c>
      <c r="F15" s="10" t="n">
        <v>2</v>
      </c>
      <c r="G15" s="10" t="n">
        <v>0</v>
      </c>
    </row>
    <row r="16" customFormat="false" ht="15" hidden="false" customHeight="false" outlineLevel="0" collapsed="false">
      <c r="A16" s="3" t="s">
        <v>58</v>
      </c>
      <c r="B16" s="10" t="s">
        <v>45</v>
      </c>
      <c r="C16" s="10" t="s">
        <v>43</v>
      </c>
      <c r="D16" s="11" t="n">
        <v>29000000</v>
      </c>
      <c r="E16" s="12" t="n">
        <v>4.0004</v>
      </c>
      <c r="F16" s="10" t="n">
        <v>3</v>
      </c>
      <c r="G16" s="10" t="n">
        <v>4</v>
      </c>
    </row>
    <row r="17" customFormat="false" ht="15" hidden="false" customHeight="false" outlineLevel="0" collapsed="false">
      <c r="A17" s="3" t="s">
        <v>59</v>
      </c>
      <c r="B17" s="10" t="s">
        <v>47</v>
      </c>
      <c r="C17" s="10" t="s">
        <v>60</v>
      </c>
      <c r="D17" s="11" t="n">
        <v>22000000</v>
      </c>
      <c r="E17" s="12" t="n">
        <v>4.2445</v>
      </c>
      <c r="F17" s="10" t="n">
        <v>3</v>
      </c>
      <c r="G17" s="10" t="n">
        <v>5</v>
      </c>
    </row>
    <row r="18" customFormat="false" ht="15" hidden="false" customHeight="false" outlineLevel="0" collapsed="false">
      <c r="A18" s="3" t="s">
        <v>61</v>
      </c>
      <c r="B18" s="10" t="s">
        <v>52</v>
      </c>
      <c r="C18" s="10" t="s">
        <v>49</v>
      </c>
      <c r="D18" s="11" t="n">
        <v>47000000</v>
      </c>
      <c r="E18" s="12" t="n">
        <v>5.5008</v>
      </c>
      <c r="F18" s="10" t="n">
        <v>3</v>
      </c>
      <c r="G18" s="10" t="n">
        <v>4</v>
      </c>
    </row>
    <row r="19" customFormat="false" ht="15" hidden="false" customHeight="false" outlineLevel="0" collapsed="false">
      <c r="A19" s="3" t="s">
        <v>62</v>
      </c>
      <c r="B19" s="10" t="s">
        <v>35</v>
      </c>
      <c r="C19" s="10" t="s">
        <v>60</v>
      </c>
      <c r="D19" s="11" t="n">
        <v>34000000</v>
      </c>
      <c r="E19" s="12" t="n">
        <v>1.9099</v>
      </c>
      <c r="F19" s="10" t="n">
        <v>2</v>
      </c>
      <c r="G19" s="10" t="n">
        <v>2</v>
      </c>
    </row>
    <row r="20" customFormat="false" ht="15" hidden="false" customHeight="false" outlineLevel="0" collapsed="false">
      <c r="A20" s="3" t="s">
        <v>63</v>
      </c>
      <c r="B20" s="10" t="s">
        <v>47</v>
      </c>
      <c r="C20" s="10" t="s">
        <v>60</v>
      </c>
      <c r="D20" s="11" t="n">
        <v>24000000</v>
      </c>
      <c r="E20" s="12" t="n">
        <v>3.3326</v>
      </c>
      <c r="F20" s="10" t="n">
        <v>3</v>
      </c>
      <c r="G20" s="10" t="n">
        <v>8</v>
      </c>
    </row>
    <row r="21" customFormat="false" ht="15" hidden="false" customHeight="false" outlineLevel="0" collapsed="false">
      <c r="A21" s="3" t="s">
        <v>64</v>
      </c>
      <c r="B21" s="10" t="s">
        <v>35</v>
      </c>
      <c r="C21" s="10" t="s">
        <v>43</v>
      </c>
      <c r="D21" s="11" t="n">
        <v>14000000</v>
      </c>
      <c r="E21" s="12" t="n">
        <v>2.0824</v>
      </c>
      <c r="F21" s="10" t="n">
        <v>1</v>
      </c>
      <c r="G21" s="10" t="n">
        <v>3</v>
      </c>
    </row>
    <row r="22" customFormat="false" ht="15" hidden="false" customHeight="false" outlineLevel="0" collapsed="false">
      <c r="A22" s="3" t="s">
        <v>65</v>
      </c>
      <c r="B22" s="10" t="s">
        <v>52</v>
      </c>
      <c r="C22" s="10" t="s">
        <v>66</v>
      </c>
      <c r="D22" s="11" t="n">
        <v>22000000</v>
      </c>
      <c r="E22" s="12" t="n">
        <v>3.9825</v>
      </c>
      <c r="F22" s="10" t="n">
        <v>1</v>
      </c>
      <c r="G22" s="10" t="n">
        <v>4</v>
      </c>
    </row>
    <row r="23" customFormat="false" ht="15" hidden="false" customHeight="false" outlineLevel="0" collapsed="false">
      <c r="A23" s="3" t="s">
        <v>67</v>
      </c>
      <c r="B23" s="10" t="s">
        <v>35</v>
      </c>
      <c r="C23" s="10" t="s">
        <v>53</v>
      </c>
      <c r="D23" s="11" t="n">
        <v>5000000</v>
      </c>
      <c r="E23" s="12" t="n">
        <v>1.3644</v>
      </c>
      <c r="F23" s="10" t="n">
        <v>2</v>
      </c>
      <c r="G23" s="10" t="n">
        <v>4</v>
      </c>
    </row>
    <row r="24" customFormat="false" ht="15" hidden="false" customHeight="false" outlineLevel="0" collapsed="false">
      <c r="A24" s="3" t="s">
        <v>68</v>
      </c>
      <c r="B24" s="10" t="s">
        <v>38</v>
      </c>
      <c r="C24" s="10" t="s">
        <v>49</v>
      </c>
      <c r="D24" s="11" t="n">
        <v>44000000</v>
      </c>
      <c r="E24" s="12" t="n">
        <v>4.302</v>
      </c>
      <c r="F24" s="10" t="n">
        <v>3</v>
      </c>
      <c r="G24" s="10" t="n">
        <v>0</v>
      </c>
    </row>
    <row r="25" customFormat="false" ht="15" hidden="false" customHeight="false" outlineLevel="0" collapsed="false">
      <c r="A25" s="3" t="s">
        <v>69</v>
      </c>
      <c r="B25" s="10" t="s">
        <v>47</v>
      </c>
      <c r="C25" s="10" t="s">
        <v>41</v>
      </c>
      <c r="D25" s="11" t="n">
        <v>4000000</v>
      </c>
      <c r="E25" s="12" t="n">
        <v>4.9301</v>
      </c>
      <c r="F25" s="10" t="n">
        <v>3</v>
      </c>
      <c r="G25" s="10" t="n">
        <v>1</v>
      </c>
    </row>
    <row r="26" customFormat="false" ht="15" hidden="false" customHeight="false" outlineLevel="0" collapsed="false">
      <c r="A26" s="3" t="s">
        <v>70</v>
      </c>
      <c r="B26" s="10" t="s">
        <v>38</v>
      </c>
      <c r="C26" s="10" t="s">
        <v>66</v>
      </c>
      <c r="D26" s="11" t="n">
        <v>37000000</v>
      </c>
      <c r="E26" s="12" t="n">
        <v>4.1378</v>
      </c>
      <c r="F26" s="10" t="n">
        <v>3</v>
      </c>
      <c r="G26" s="10" t="n">
        <v>5</v>
      </c>
    </row>
    <row r="27" customFormat="false" ht="15" hidden="false" customHeight="false" outlineLevel="0" collapsed="false">
      <c r="A27" s="3" t="s">
        <v>71</v>
      </c>
      <c r="B27" s="10" t="s">
        <v>38</v>
      </c>
      <c r="C27" s="10" t="s">
        <v>60</v>
      </c>
      <c r="D27" s="11" t="n">
        <v>14000000</v>
      </c>
      <c r="E27" s="12" t="n">
        <v>2.3667</v>
      </c>
      <c r="F27" s="10" t="n">
        <v>2</v>
      </c>
      <c r="G27" s="10" t="n">
        <v>4</v>
      </c>
    </row>
    <row r="28" customFormat="false" ht="15" hidden="false" customHeight="false" outlineLevel="0" collapsed="false">
      <c r="A28" s="3" t="s">
        <v>72</v>
      </c>
      <c r="B28" s="10" t="s">
        <v>52</v>
      </c>
      <c r="C28" s="10" t="s">
        <v>33</v>
      </c>
      <c r="D28" s="11" t="n">
        <v>36000000</v>
      </c>
      <c r="E28" s="12" t="n">
        <v>6.932</v>
      </c>
      <c r="F28" s="10" t="n">
        <v>1</v>
      </c>
      <c r="G28" s="10" t="n">
        <v>0</v>
      </c>
    </row>
    <row r="29" customFormat="false" ht="15" hidden="false" customHeight="false" outlineLevel="0" collapsed="false">
      <c r="A29" s="3" t="s">
        <v>73</v>
      </c>
      <c r="B29" s="10" t="s">
        <v>52</v>
      </c>
      <c r="C29" s="10" t="s">
        <v>66</v>
      </c>
      <c r="D29" s="11" t="n">
        <v>18000000</v>
      </c>
      <c r="E29" s="12" t="n">
        <v>4.1162</v>
      </c>
      <c r="F29" s="10" t="n">
        <v>1</v>
      </c>
      <c r="G29" s="10" t="n">
        <v>0</v>
      </c>
    </row>
    <row r="30" customFormat="false" ht="15" hidden="false" customHeight="false" outlineLevel="0" collapsed="false">
      <c r="A30" s="3" t="s">
        <v>74</v>
      </c>
      <c r="B30" s="10" t="s">
        <v>38</v>
      </c>
      <c r="C30" s="10" t="s">
        <v>53</v>
      </c>
      <c r="D30" s="11" t="n">
        <v>39000000</v>
      </c>
      <c r="E30" s="12" t="n">
        <v>1.6411</v>
      </c>
      <c r="F30" s="10" t="n">
        <v>2</v>
      </c>
      <c r="G30" s="10" t="n">
        <v>3</v>
      </c>
    </row>
    <row r="31" customFormat="false" ht="15" hidden="false" customHeight="false" outlineLevel="0" collapsed="false">
      <c r="A31" s="3" t="s">
        <v>75</v>
      </c>
      <c r="B31" s="10" t="s">
        <v>32</v>
      </c>
      <c r="C31" s="10" t="s">
        <v>66</v>
      </c>
      <c r="D31" s="11" t="n">
        <v>33000000</v>
      </c>
      <c r="E31" s="12" t="n">
        <v>5.4633</v>
      </c>
      <c r="F31" s="10" t="n">
        <v>2</v>
      </c>
      <c r="G31" s="10" t="n">
        <v>1</v>
      </c>
    </row>
    <row r="32" customFormat="false" ht="15" hidden="false" customHeight="false" outlineLevel="0" collapsed="false">
      <c r="A32" s="3" t="s">
        <v>76</v>
      </c>
      <c r="B32" s="10" t="s">
        <v>35</v>
      </c>
      <c r="C32" s="10" t="s">
        <v>43</v>
      </c>
      <c r="D32" s="11" t="n">
        <v>13000000</v>
      </c>
      <c r="E32" s="12" t="n">
        <v>1.8974</v>
      </c>
      <c r="F32" s="10" t="n">
        <v>2</v>
      </c>
      <c r="G32" s="10" t="n">
        <v>0</v>
      </c>
    </row>
    <row r="33" customFormat="false" ht="15" hidden="false" customHeight="false" outlineLevel="0" collapsed="false">
      <c r="A33" s="3" t="s">
        <v>77</v>
      </c>
      <c r="B33" s="10" t="s">
        <v>38</v>
      </c>
      <c r="C33" s="10" t="s">
        <v>66</v>
      </c>
      <c r="D33" s="11" t="n">
        <v>3000000</v>
      </c>
      <c r="E33" s="12" t="n">
        <v>6.1571</v>
      </c>
      <c r="F33" s="10" t="n">
        <v>1</v>
      </c>
      <c r="G33" s="10" t="n">
        <v>6</v>
      </c>
    </row>
    <row r="34" customFormat="false" ht="15" hidden="false" customHeight="false" outlineLevel="0" collapsed="false">
      <c r="A34" s="3" t="s">
        <v>78</v>
      </c>
      <c r="B34" s="10" t="s">
        <v>52</v>
      </c>
      <c r="C34" s="10" t="s">
        <v>36</v>
      </c>
      <c r="D34" s="11" t="n">
        <v>50000000</v>
      </c>
      <c r="E34" s="12" t="n">
        <v>3.1719</v>
      </c>
      <c r="F34" s="10" t="n">
        <v>1</v>
      </c>
      <c r="G34" s="10" t="n">
        <v>1</v>
      </c>
    </row>
    <row r="35" customFormat="false" ht="15" hidden="false" customHeight="false" outlineLevel="0" collapsed="false">
      <c r="A35" s="3" t="s">
        <v>80</v>
      </c>
      <c r="B35" s="10" t="s">
        <v>45</v>
      </c>
      <c r="C35" s="10" t="s">
        <v>49</v>
      </c>
      <c r="D35" s="11" t="n">
        <v>43000000</v>
      </c>
      <c r="E35" s="12" t="n">
        <v>3.8572</v>
      </c>
      <c r="F35" s="10" t="n">
        <v>2</v>
      </c>
      <c r="G35" s="10" t="n">
        <v>2</v>
      </c>
    </row>
    <row r="36" customFormat="false" ht="15" hidden="false" customHeight="false" outlineLevel="0" collapsed="false">
      <c r="A36" s="3" t="s">
        <v>81</v>
      </c>
      <c r="B36" s="10" t="s">
        <v>47</v>
      </c>
      <c r="C36" s="10" t="s">
        <v>36</v>
      </c>
      <c r="D36" s="11" t="n">
        <v>31000000</v>
      </c>
      <c r="E36" s="12" t="n">
        <v>6.7247</v>
      </c>
      <c r="F36" s="10" t="n">
        <v>3</v>
      </c>
      <c r="G36" s="10" t="n">
        <v>6</v>
      </c>
    </row>
    <row r="37" customFormat="false" ht="15" hidden="false" customHeight="false" outlineLevel="0" collapsed="false">
      <c r="A37" s="3" t="s">
        <v>82</v>
      </c>
      <c r="B37" s="10" t="s">
        <v>35</v>
      </c>
      <c r="C37" s="10" t="s">
        <v>33</v>
      </c>
      <c r="D37" s="11" t="n">
        <v>23000000</v>
      </c>
      <c r="E37" s="12" t="n">
        <v>6.2612</v>
      </c>
      <c r="F37" s="10" t="n">
        <v>3</v>
      </c>
      <c r="G37" s="10" t="n">
        <v>1</v>
      </c>
    </row>
    <row r="38" customFormat="false" ht="15" hidden="false" customHeight="false" outlineLevel="0" collapsed="false">
      <c r="A38" s="3" t="s">
        <v>83</v>
      </c>
      <c r="B38" s="10" t="s">
        <v>38</v>
      </c>
      <c r="C38" s="10" t="s">
        <v>66</v>
      </c>
      <c r="D38" s="11" t="n">
        <v>6000000</v>
      </c>
      <c r="E38" s="12" t="n">
        <v>1.2977</v>
      </c>
      <c r="F38" s="10" t="n">
        <v>3</v>
      </c>
      <c r="G38" s="10" t="n">
        <v>0</v>
      </c>
    </row>
    <row r="39" customFormat="false" ht="15" hidden="false" customHeight="false" outlineLevel="0" collapsed="false">
      <c r="A39" s="3" t="s">
        <v>84</v>
      </c>
      <c r="B39" s="10" t="s">
        <v>38</v>
      </c>
      <c r="C39" s="10" t="s">
        <v>66</v>
      </c>
      <c r="D39" s="11" t="n">
        <v>14000000</v>
      </c>
      <c r="E39" s="12" t="n">
        <v>3.2934</v>
      </c>
      <c r="F39" s="10" t="n">
        <v>3</v>
      </c>
      <c r="G39" s="10" t="n">
        <v>1</v>
      </c>
    </row>
    <row r="40" customFormat="false" ht="15" hidden="false" customHeight="false" outlineLevel="0" collapsed="false">
      <c r="A40" s="3" t="s">
        <v>85</v>
      </c>
      <c r="B40" s="10" t="s">
        <v>45</v>
      </c>
      <c r="C40" s="10" t="s">
        <v>66</v>
      </c>
      <c r="D40" s="11" t="n">
        <v>44000000</v>
      </c>
      <c r="E40" s="12" t="n">
        <v>5.6286</v>
      </c>
      <c r="F40" s="10" t="n">
        <v>3</v>
      </c>
      <c r="G40" s="10" t="n">
        <v>5</v>
      </c>
    </row>
    <row r="41" customFormat="false" ht="15" hidden="false" customHeight="false" outlineLevel="0" collapsed="false">
      <c r="A41" s="3" t="s">
        <v>86</v>
      </c>
      <c r="B41" s="10" t="s">
        <v>35</v>
      </c>
      <c r="C41" s="10" t="s">
        <v>41</v>
      </c>
      <c r="D41" s="11" t="n">
        <v>27000000</v>
      </c>
      <c r="E41" s="12" t="n">
        <v>5.8707</v>
      </c>
      <c r="F41" s="10" t="n">
        <v>2</v>
      </c>
      <c r="G41" s="10" t="n">
        <v>7</v>
      </c>
    </row>
    <row r="42" customFormat="false" ht="15" hidden="false" customHeight="false" outlineLevel="0" collapsed="false">
      <c r="A42" s="3" t="s">
        <v>87</v>
      </c>
      <c r="B42" s="10" t="s">
        <v>38</v>
      </c>
      <c r="C42" s="10" t="s">
        <v>36</v>
      </c>
      <c r="D42" s="11" t="n">
        <v>12000000</v>
      </c>
      <c r="E42" s="12" t="n">
        <v>1.3562</v>
      </c>
      <c r="F42" s="10" t="n">
        <v>1</v>
      </c>
      <c r="G42" s="10" t="n">
        <v>1</v>
      </c>
    </row>
    <row r="43" customFormat="false" ht="15" hidden="false" customHeight="false" outlineLevel="0" collapsed="false">
      <c r="A43" s="3" t="s">
        <v>88</v>
      </c>
      <c r="B43" s="10" t="s">
        <v>35</v>
      </c>
      <c r="C43" s="10" t="s">
        <v>53</v>
      </c>
      <c r="D43" s="11" t="n">
        <v>44000000</v>
      </c>
      <c r="E43" s="12" t="n">
        <v>6.7102</v>
      </c>
      <c r="F43" s="10" t="n">
        <v>1</v>
      </c>
      <c r="G43" s="10" t="n">
        <v>0</v>
      </c>
    </row>
    <row r="44" customFormat="false" ht="15" hidden="false" customHeight="false" outlineLevel="0" collapsed="false">
      <c r="A44" s="3" t="s">
        <v>89</v>
      </c>
      <c r="B44" s="10" t="s">
        <v>38</v>
      </c>
      <c r="C44" s="10" t="s">
        <v>33</v>
      </c>
      <c r="D44" s="11" t="n">
        <v>40000000</v>
      </c>
      <c r="E44" s="12" t="n">
        <v>1.7958</v>
      </c>
      <c r="F44" s="10" t="n">
        <v>1</v>
      </c>
      <c r="G44" s="10" t="n">
        <v>5</v>
      </c>
    </row>
    <row r="45" customFormat="false" ht="15" hidden="false" customHeight="false" outlineLevel="0" collapsed="false">
      <c r="A45" s="3" t="s">
        <v>90</v>
      </c>
      <c r="B45" s="10" t="s">
        <v>38</v>
      </c>
      <c r="C45" s="10" t="s">
        <v>33</v>
      </c>
      <c r="D45" s="11" t="n">
        <v>18000000</v>
      </c>
      <c r="E45" s="12" t="n">
        <v>4.2197</v>
      </c>
      <c r="F45" s="10" t="n">
        <v>4</v>
      </c>
      <c r="G45" s="10" t="n">
        <v>4</v>
      </c>
    </row>
    <row r="46" customFormat="false" ht="15" hidden="false" customHeight="false" outlineLevel="0" collapsed="false">
      <c r="A46" s="3" t="s">
        <v>91</v>
      </c>
      <c r="B46" s="10" t="s">
        <v>38</v>
      </c>
      <c r="C46" s="10" t="s">
        <v>36</v>
      </c>
      <c r="D46" s="11" t="n">
        <v>18000000</v>
      </c>
      <c r="E46" s="12" t="n">
        <v>6.4547</v>
      </c>
      <c r="F46" s="10" t="n">
        <v>1</v>
      </c>
      <c r="G46" s="10" t="n">
        <v>8</v>
      </c>
    </row>
    <row r="47" customFormat="false" ht="15" hidden="false" customHeight="false" outlineLevel="0" collapsed="false">
      <c r="A47" s="3" t="s">
        <v>93</v>
      </c>
      <c r="B47" s="10" t="s">
        <v>45</v>
      </c>
      <c r="C47" s="10" t="s">
        <v>53</v>
      </c>
      <c r="D47" s="11" t="n">
        <v>9000000</v>
      </c>
      <c r="E47" s="12" t="n">
        <v>3.4625</v>
      </c>
      <c r="F47" s="10" t="n">
        <v>2</v>
      </c>
      <c r="G47" s="10" t="n">
        <v>0</v>
      </c>
    </row>
    <row r="48" customFormat="false" ht="15" hidden="false" customHeight="false" outlineLevel="0" collapsed="false">
      <c r="A48" s="3" t="s">
        <v>94</v>
      </c>
      <c r="B48" s="10" t="s">
        <v>32</v>
      </c>
      <c r="C48" s="10" t="s">
        <v>60</v>
      </c>
      <c r="D48" s="11" t="n">
        <v>36000000</v>
      </c>
      <c r="E48" s="12" t="n">
        <v>6.763</v>
      </c>
      <c r="F48" s="10" t="n">
        <v>3</v>
      </c>
      <c r="G48" s="10" t="n">
        <v>6</v>
      </c>
    </row>
    <row r="49" customFormat="false" ht="15" hidden="false" customHeight="false" outlineLevel="0" collapsed="false">
      <c r="A49" s="3" t="s">
        <v>95</v>
      </c>
      <c r="B49" s="10" t="s">
        <v>47</v>
      </c>
      <c r="C49" s="10" t="s">
        <v>49</v>
      </c>
      <c r="D49" s="11" t="n">
        <v>33000000</v>
      </c>
      <c r="E49" s="12" t="n">
        <v>6.9085</v>
      </c>
      <c r="F49" s="10" t="n">
        <v>3</v>
      </c>
      <c r="G49" s="10" t="n">
        <v>0</v>
      </c>
    </row>
    <row r="50" customFormat="false" ht="15" hidden="false" customHeight="false" outlineLevel="0" collapsed="false">
      <c r="A50" s="3" t="s">
        <v>96</v>
      </c>
      <c r="B50" s="10" t="s">
        <v>38</v>
      </c>
      <c r="C50" s="10" t="s">
        <v>33</v>
      </c>
      <c r="D50" s="11" t="n">
        <v>36000000</v>
      </c>
      <c r="E50" s="12" t="n">
        <v>1.3375</v>
      </c>
      <c r="F50" s="10" t="n">
        <v>1</v>
      </c>
      <c r="G50" s="10" t="n">
        <v>0</v>
      </c>
    </row>
    <row r="51" customFormat="false" ht="15" hidden="false" customHeight="false" outlineLevel="0" collapsed="false">
      <c r="A51" s="3" t="s">
        <v>97</v>
      </c>
      <c r="B51" s="10" t="s">
        <v>38</v>
      </c>
      <c r="C51" s="10" t="s">
        <v>43</v>
      </c>
      <c r="D51" s="11" t="n">
        <v>18000000</v>
      </c>
      <c r="E51" s="12" t="n">
        <v>3.6273</v>
      </c>
      <c r="F51" s="10" t="n">
        <v>2</v>
      </c>
      <c r="G51" s="10" t="n">
        <v>0</v>
      </c>
    </row>
    <row r="52" customFormat="false" ht="15" hidden="false" customHeight="false" outlineLevel="0" collapsed="false">
      <c r="A52" s="3" t="s">
        <v>98</v>
      </c>
      <c r="B52" s="10" t="s">
        <v>32</v>
      </c>
      <c r="C52" s="10" t="s">
        <v>33</v>
      </c>
      <c r="D52" s="11" t="n">
        <v>34000000</v>
      </c>
      <c r="E52" s="12" t="n">
        <v>3.4991</v>
      </c>
      <c r="F52" s="10" t="n">
        <v>2</v>
      </c>
      <c r="G52" s="10" t="n">
        <v>0</v>
      </c>
    </row>
    <row r="53" customFormat="false" ht="15" hidden="false" customHeight="false" outlineLevel="0" collapsed="false">
      <c r="A53" s="3" t="s">
        <v>99</v>
      </c>
      <c r="B53" s="10" t="s">
        <v>45</v>
      </c>
      <c r="C53" s="10" t="s">
        <v>53</v>
      </c>
      <c r="D53" s="11" t="n">
        <v>37000000</v>
      </c>
      <c r="E53" s="12" t="n">
        <v>4.2527</v>
      </c>
      <c r="F53" s="10" t="n">
        <v>1</v>
      </c>
      <c r="G53" s="10" t="n">
        <v>0</v>
      </c>
    </row>
    <row r="54" customFormat="false" ht="15" hidden="false" customHeight="false" outlineLevel="0" collapsed="false">
      <c r="A54" s="3" t="s">
        <v>100</v>
      </c>
      <c r="B54" s="10" t="s">
        <v>32</v>
      </c>
      <c r="C54" s="10" t="s">
        <v>33</v>
      </c>
      <c r="D54" s="11" t="n">
        <v>24000000</v>
      </c>
      <c r="E54" s="12" t="n">
        <v>3.5208</v>
      </c>
      <c r="F54" s="10" t="n">
        <v>3</v>
      </c>
      <c r="G54" s="10" t="n">
        <v>1</v>
      </c>
    </row>
    <row r="55" customFormat="false" ht="15" hidden="false" customHeight="false" outlineLevel="0" collapsed="false">
      <c r="A55" s="3" t="s">
        <v>101</v>
      </c>
      <c r="B55" s="10" t="s">
        <v>47</v>
      </c>
      <c r="C55" s="10" t="s">
        <v>60</v>
      </c>
      <c r="D55" s="11" t="n">
        <v>15000000</v>
      </c>
      <c r="E55" s="12" t="n">
        <v>2.575</v>
      </c>
      <c r="F55" s="10" t="n">
        <v>1</v>
      </c>
      <c r="G55" s="10" t="n">
        <v>0</v>
      </c>
    </row>
    <row r="56" customFormat="false" ht="15" hidden="false" customHeight="false" outlineLevel="0" collapsed="false">
      <c r="A56" s="3" t="s">
        <v>102</v>
      </c>
      <c r="B56" s="10" t="s">
        <v>38</v>
      </c>
      <c r="C56" s="10" t="s">
        <v>36</v>
      </c>
      <c r="D56" s="11" t="n">
        <v>19000000</v>
      </c>
      <c r="E56" s="12" t="n">
        <v>1.2118</v>
      </c>
      <c r="F56" s="10" t="n">
        <v>1</v>
      </c>
      <c r="G56" s="10" t="n">
        <v>6</v>
      </c>
    </row>
    <row r="57" customFormat="false" ht="15" hidden="false" customHeight="false" outlineLevel="0" collapsed="false">
      <c r="A57" s="3" t="s">
        <v>103</v>
      </c>
      <c r="B57" s="10" t="s">
        <v>32</v>
      </c>
      <c r="C57" s="10" t="s">
        <v>36</v>
      </c>
      <c r="D57" s="11" t="n">
        <v>9000000</v>
      </c>
      <c r="E57" s="12" t="n">
        <v>1.8104</v>
      </c>
      <c r="F57" s="10" t="n">
        <v>3</v>
      </c>
      <c r="G57" s="10" t="n">
        <v>0</v>
      </c>
    </row>
    <row r="58" customFormat="false" ht="15" hidden="false" customHeight="false" outlineLevel="0" collapsed="false">
      <c r="A58" s="3" t="s">
        <v>104</v>
      </c>
      <c r="B58" s="10" t="s">
        <v>45</v>
      </c>
      <c r="C58" s="10" t="s">
        <v>33</v>
      </c>
      <c r="D58" s="11" t="n">
        <v>43000000</v>
      </c>
      <c r="E58" s="12" t="n">
        <v>2.6772</v>
      </c>
      <c r="F58" s="10" t="n">
        <v>2</v>
      </c>
      <c r="G58" s="10" t="n">
        <v>3</v>
      </c>
    </row>
    <row r="59" customFormat="false" ht="15" hidden="false" customHeight="false" outlineLevel="0" collapsed="false">
      <c r="A59" s="3" t="s">
        <v>105</v>
      </c>
      <c r="B59" s="10" t="s">
        <v>52</v>
      </c>
      <c r="C59" s="10" t="s">
        <v>43</v>
      </c>
      <c r="D59" s="11" t="n">
        <v>40000000</v>
      </c>
      <c r="E59" s="12" t="n">
        <v>2.075</v>
      </c>
      <c r="F59" s="10" t="n">
        <v>3</v>
      </c>
      <c r="G59" s="10" t="n">
        <v>2</v>
      </c>
    </row>
    <row r="60" customFormat="false" ht="15" hidden="false" customHeight="false" outlineLevel="0" collapsed="false">
      <c r="A60" s="3" t="s">
        <v>106</v>
      </c>
      <c r="B60" s="10" t="s">
        <v>52</v>
      </c>
      <c r="C60" s="10" t="s">
        <v>41</v>
      </c>
      <c r="D60" s="11" t="n">
        <v>26000000</v>
      </c>
      <c r="E60" s="12" t="n">
        <v>4.0794</v>
      </c>
      <c r="F60" s="10" t="n">
        <v>2</v>
      </c>
      <c r="G60" s="10" t="n">
        <v>3</v>
      </c>
    </row>
    <row r="61" customFormat="false" ht="15" hidden="false" customHeight="false" outlineLevel="0" collapsed="false">
      <c r="A61" s="3" t="s">
        <v>108</v>
      </c>
      <c r="B61" s="10" t="s">
        <v>47</v>
      </c>
      <c r="C61" s="10" t="s">
        <v>53</v>
      </c>
      <c r="D61" s="11" t="n">
        <v>20000000</v>
      </c>
      <c r="E61" s="12" t="n">
        <v>4.5436</v>
      </c>
      <c r="F61" s="10" t="n">
        <v>3</v>
      </c>
      <c r="G61" s="10" t="n">
        <v>1</v>
      </c>
    </row>
    <row r="62" customFormat="false" ht="15" hidden="false" customHeight="false" outlineLevel="0" collapsed="false">
      <c r="A62" s="3" t="s">
        <v>109</v>
      </c>
      <c r="B62" s="10" t="s">
        <v>45</v>
      </c>
      <c r="C62" s="10" t="s">
        <v>53</v>
      </c>
      <c r="D62" s="11" t="n">
        <v>48000000</v>
      </c>
      <c r="E62" s="12" t="n">
        <v>6.0138</v>
      </c>
      <c r="F62" s="10" t="n">
        <v>1</v>
      </c>
      <c r="G62" s="10" t="n">
        <v>6</v>
      </c>
    </row>
    <row r="63" customFormat="false" ht="15" hidden="false" customHeight="false" outlineLevel="0" collapsed="false">
      <c r="A63" s="3" t="s">
        <v>110</v>
      </c>
      <c r="B63" s="10" t="s">
        <v>47</v>
      </c>
      <c r="C63" s="10" t="s">
        <v>49</v>
      </c>
      <c r="D63" s="11" t="n">
        <v>32000000</v>
      </c>
      <c r="E63" s="12" t="n">
        <v>2.6061</v>
      </c>
      <c r="F63" s="10" t="n">
        <v>3</v>
      </c>
      <c r="G63" s="10" t="n">
        <v>0</v>
      </c>
    </row>
    <row r="64" customFormat="false" ht="15" hidden="false" customHeight="false" outlineLevel="0" collapsed="false">
      <c r="A64" s="3" t="s">
        <v>111</v>
      </c>
      <c r="B64" s="10" t="s">
        <v>52</v>
      </c>
      <c r="C64" s="10" t="s">
        <v>49</v>
      </c>
      <c r="D64" s="11" t="n">
        <v>34000000</v>
      </c>
      <c r="E64" s="12" t="n">
        <v>6.2125</v>
      </c>
      <c r="F64" s="10" t="n">
        <v>1</v>
      </c>
      <c r="G64" s="10" t="n">
        <v>0</v>
      </c>
    </row>
    <row r="65" customFormat="false" ht="15" hidden="false" customHeight="false" outlineLevel="0" collapsed="false">
      <c r="A65" s="3" t="s">
        <v>112</v>
      </c>
      <c r="B65" s="10" t="s">
        <v>38</v>
      </c>
      <c r="C65" s="10" t="s">
        <v>49</v>
      </c>
      <c r="D65" s="11" t="n">
        <v>31000000</v>
      </c>
      <c r="E65" s="12" t="n">
        <v>3.849</v>
      </c>
      <c r="F65" s="10" t="n">
        <v>1</v>
      </c>
      <c r="G65" s="10" t="n">
        <v>1</v>
      </c>
    </row>
    <row r="66" customFormat="false" ht="15" hidden="false" customHeight="false" outlineLevel="0" collapsed="false">
      <c r="A66" s="3" t="s">
        <v>113</v>
      </c>
      <c r="B66" s="10" t="s">
        <v>35</v>
      </c>
      <c r="C66" s="10" t="s">
        <v>53</v>
      </c>
      <c r="D66" s="11" t="n">
        <v>23000000</v>
      </c>
      <c r="E66" s="12" t="n">
        <v>1.1741</v>
      </c>
      <c r="F66" s="10" t="n">
        <v>2</v>
      </c>
      <c r="G66" s="10" t="n">
        <v>3</v>
      </c>
    </row>
    <row r="67" customFormat="false" ht="15" hidden="false" customHeight="false" outlineLevel="0" collapsed="false">
      <c r="A67" s="3" t="s">
        <v>114</v>
      </c>
      <c r="B67" s="10" t="s">
        <v>35</v>
      </c>
      <c r="C67" s="10" t="s">
        <v>49</v>
      </c>
      <c r="D67" s="11" t="n">
        <v>31000000</v>
      </c>
      <c r="E67" s="12" t="n">
        <v>5.5988</v>
      </c>
      <c r="F67" s="10" t="n">
        <v>2</v>
      </c>
      <c r="G67" s="10" t="n">
        <v>4</v>
      </c>
    </row>
    <row r="68" customFormat="false" ht="15" hidden="false" customHeight="false" outlineLevel="0" collapsed="false">
      <c r="A68" s="3" t="s">
        <v>115</v>
      </c>
      <c r="B68" s="10" t="s">
        <v>52</v>
      </c>
      <c r="C68" s="10" t="s">
        <v>41</v>
      </c>
      <c r="D68" s="11" t="n">
        <v>27000000</v>
      </c>
      <c r="E68" s="12" t="n">
        <v>5.9101</v>
      </c>
      <c r="F68" s="10" t="n">
        <v>3</v>
      </c>
      <c r="G68" s="10" t="n">
        <v>0</v>
      </c>
    </row>
    <row r="69" customFormat="false" ht="15" hidden="false" customHeight="false" outlineLevel="0" collapsed="false">
      <c r="A69" s="3" t="s">
        <v>116</v>
      </c>
      <c r="B69" s="10" t="s">
        <v>45</v>
      </c>
      <c r="C69" s="10" t="s">
        <v>36</v>
      </c>
      <c r="D69" s="11" t="n">
        <v>33000000</v>
      </c>
      <c r="E69" s="12" t="n">
        <v>4.2554</v>
      </c>
      <c r="F69" s="10" t="n">
        <v>2</v>
      </c>
      <c r="G69" s="10" t="n">
        <v>0</v>
      </c>
    </row>
    <row r="70" customFormat="false" ht="15" hidden="false" customHeight="false" outlineLevel="0" collapsed="false">
      <c r="A70" s="3" t="s">
        <v>117</v>
      </c>
      <c r="B70" s="10" t="s">
        <v>47</v>
      </c>
      <c r="C70" s="10" t="s">
        <v>36</v>
      </c>
      <c r="D70" s="11" t="n">
        <v>33000000</v>
      </c>
      <c r="E70" s="12" t="n">
        <v>3.4022</v>
      </c>
      <c r="F70" s="10" t="n">
        <v>3</v>
      </c>
      <c r="G70" s="10" t="n">
        <v>5</v>
      </c>
    </row>
    <row r="71" customFormat="false" ht="15" hidden="false" customHeight="false" outlineLevel="0" collapsed="false">
      <c r="A71" s="3" t="s">
        <v>118</v>
      </c>
      <c r="B71" s="10" t="s">
        <v>40</v>
      </c>
      <c r="C71" s="10" t="s">
        <v>60</v>
      </c>
      <c r="D71" s="11" t="n">
        <v>33000000</v>
      </c>
      <c r="E71" s="12" t="n">
        <v>1.905</v>
      </c>
      <c r="F71" s="10" t="n">
        <v>1</v>
      </c>
      <c r="G71" s="10" t="n">
        <v>0</v>
      </c>
    </row>
    <row r="72" customFormat="false" ht="15" hidden="false" customHeight="false" outlineLevel="0" collapsed="false">
      <c r="A72" s="3" t="s">
        <v>119</v>
      </c>
      <c r="B72" s="10" t="s">
        <v>40</v>
      </c>
      <c r="C72" s="10" t="s">
        <v>53</v>
      </c>
      <c r="D72" s="11" t="n">
        <v>2000000</v>
      </c>
      <c r="E72" s="12" t="n">
        <v>2.6436</v>
      </c>
      <c r="F72" s="10" t="n">
        <v>2</v>
      </c>
      <c r="G72" s="10" t="n">
        <v>6</v>
      </c>
    </row>
    <row r="73" customFormat="false" ht="15" hidden="false" customHeight="false" outlineLevel="0" collapsed="false">
      <c r="A73" s="3" t="s">
        <v>283</v>
      </c>
      <c r="B73" s="10" t="s">
        <v>45</v>
      </c>
      <c r="C73" s="10" t="s">
        <v>43</v>
      </c>
      <c r="D73" s="11" t="n">
        <v>7000000</v>
      </c>
      <c r="E73" s="12" t="n">
        <v>1.1042</v>
      </c>
      <c r="F73" s="10" t="n">
        <v>2</v>
      </c>
      <c r="G73" s="10" t="n">
        <v>0</v>
      </c>
    </row>
    <row r="74" customFormat="false" ht="15" hidden="false" customHeight="false" outlineLevel="0" collapsed="false">
      <c r="A74" s="3" t="s">
        <v>120</v>
      </c>
      <c r="B74" s="10" t="s">
        <v>32</v>
      </c>
      <c r="C74" s="10" t="s">
        <v>41</v>
      </c>
      <c r="D74" s="11" t="n">
        <v>41055188</v>
      </c>
      <c r="E74" s="12" t="n">
        <v>1.9648</v>
      </c>
      <c r="F74" s="10" t="n">
        <v>1</v>
      </c>
      <c r="G74" s="10" t="n">
        <v>0</v>
      </c>
    </row>
    <row r="75" customFormat="false" ht="15" hidden="false" customHeight="false" outlineLevel="0" collapsed="false">
      <c r="A75" s="3" t="s">
        <v>121</v>
      </c>
      <c r="B75" s="10" t="s">
        <v>52</v>
      </c>
      <c r="C75" s="10" t="s">
        <v>41</v>
      </c>
      <c r="D75" s="11" t="n">
        <v>39000000</v>
      </c>
      <c r="E75" s="12" t="n">
        <v>3.5917</v>
      </c>
      <c r="F75" s="10" t="n">
        <v>2</v>
      </c>
      <c r="G75" s="10" t="n">
        <v>7</v>
      </c>
    </row>
    <row r="76" customFormat="false" ht="15" hidden="false" customHeight="false" outlineLevel="0" collapsed="false">
      <c r="A76" s="3" t="s">
        <v>122</v>
      </c>
      <c r="B76" s="10" t="s">
        <v>40</v>
      </c>
      <c r="C76" s="10" t="s">
        <v>53</v>
      </c>
      <c r="D76" s="11" t="n">
        <v>26000000</v>
      </c>
      <c r="E76" s="12" t="n">
        <v>2.3707</v>
      </c>
      <c r="F76" s="10" t="n">
        <v>1</v>
      </c>
      <c r="G76" s="10" t="n">
        <v>0</v>
      </c>
    </row>
    <row r="77" customFormat="false" ht="15" hidden="false" customHeight="false" outlineLevel="0" collapsed="false">
      <c r="A77" s="3" t="s">
        <v>123</v>
      </c>
      <c r="B77" s="10" t="s">
        <v>32</v>
      </c>
      <c r="C77" s="10" t="s">
        <v>53</v>
      </c>
      <c r="D77" s="11" t="n">
        <v>12000000</v>
      </c>
      <c r="E77" s="12" t="n">
        <v>3.2223</v>
      </c>
      <c r="F77" s="10" t="n">
        <v>3</v>
      </c>
      <c r="G77" s="10" t="n">
        <v>5</v>
      </c>
    </row>
    <row r="78" customFormat="false" ht="15" hidden="false" customHeight="false" outlineLevel="0" collapsed="false">
      <c r="A78" s="3" t="s">
        <v>124</v>
      </c>
      <c r="B78" s="10" t="s">
        <v>38</v>
      </c>
      <c r="C78" s="10" t="s">
        <v>41</v>
      </c>
      <c r="D78" s="11" t="n">
        <v>43000000</v>
      </c>
      <c r="E78" s="12" t="n">
        <v>2.921</v>
      </c>
      <c r="F78" s="10" t="n">
        <v>1</v>
      </c>
      <c r="G78" s="10" t="n">
        <v>9</v>
      </c>
    </row>
    <row r="79" customFormat="false" ht="15" hidden="false" customHeight="false" outlineLevel="0" collapsed="false">
      <c r="A79" s="3" t="s">
        <v>125</v>
      </c>
      <c r="B79" s="10" t="s">
        <v>40</v>
      </c>
      <c r="C79" s="10" t="s">
        <v>41</v>
      </c>
      <c r="D79" s="11" t="n">
        <v>17000000</v>
      </c>
      <c r="E79" s="12" t="n">
        <v>4.5503</v>
      </c>
      <c r="F79" s="10" t="n">
        <v>2</v>
      </c>
      <c r="G79" s="10" t="n">
        <v>0</v>
      </c>
    </row>
    <row r="80" customFormat="false" ht="15" hidden="false" customHeight="false" outlineLevel="0" collapsed="false">
      <c r="A80" s="3" t="s">
        <v>126</v>
      </c>
      <c r="B80" s="10" t="s">
        <v>35</v>
      </c>
      <c r="C80" s="10" t="s">
        <v>53</v>
      </c>
      <c r="D80" s="11" t="n">
        <v>6000000</v>
      </c>
      <c r="E80" s="12" t="n">
        <v>5.3124</v>
      </c>
      <c r="F80" s="10" t="n">
        <v>2</v>
      </c>
      <c r="G80" s="10" t="n">
        <v>4</v>
      </c>
    </row>
    <row r="81" customFormat="false" ht="15" hidden="false" customHeight="false" outlineLevel="0" collapsed="false">
      <c r="A81" s="3" t="s">
        <v>127</v>
      </c>
      <c r="B81" s="10" t="s">
        <v>40</v>
      </c>
      <c r="C81" s="10" t="s">
        <v>60</v>
      </c>
      <c r="D81" s="11" t="n">
        <v>23000000</v>
      </c>
      <c r="E81" s="12" t="n">
        <v>3.207</v>
      </c>
      <c r="F81" s="10" t="n">
        <v>3</v>
      </c>
      <c r="G81" s="10" t="n">
        <v>1</v>
      </c>
    </row>
    <row r="82" customFormat="false" ht="15" hidden="false" customHeight="false" outlineLevel="0" collapsed="false">
      <c r="A82" s="3" t="s">
        <v>128</v>
      </c>
      <c r="B82" s="10" t="s">
        <v>52</v>
      </c>
      <c r="C82" s="10" t="s">
        <v>43</v>
      </c>
      <c r="D82" s="11" t="n">
        <v>27000000</v>
      </c>
      <c r="E82" s="12" t="n">
        <v>5.6317</v>
      </c>
      <c r="F82" s="10" t="n">
        <v>1</v>
      </c>
      <c r="G82" s="10" t="n">
        <v>0</v>
      </c>
    </row>
    <row r="83" customFormat="false" ht="15" hidden="false" customHeight="false" outlineLevel="0" collapsed="false">
      <c r="A83" s="3" t="s">
        <v>129</v>
      </c>
      <c r="B83" s="10" t="s">
        <v>40</v>
      </c>
      <c r="C83" s="10" t="s">
        <v>41</v>
      </c>
      <c r="D83" s="11" t="n">
        <v>8000000</v>
      </c>
      <c r="E83" s="12" t="n">
        <v>3.3624</v>
      </c>
      <c r="F83" s="10" t="n">
        <v>3</v>
      </c>
      <c r="G83" s="10" t="n">
        <v>4</v>
      </c>
    </row>
    <row r="84" customFormat="false" ht="15" hidden="false" customHeight="false" outlineLevel="0" collapsed="false">
      <c r="A84" s="3" t="s">
        <v>130</v>
      </c>
      <c r="B84" s="10" t="s">
        <v>32</v>
      </c>
      <c r="C84" s="10" t="s">
        <v>33</v>
      </c>
      <c r="D84" s="11" t="n">
        <v>23000000</v>
      </c>
      <c r="E84" s="12" t="n">
        <v>4.0669</v>
      </c>
      <c r="F84" s="10" t="n">
        <v>3</v>
      </c>
      <c r="G84" s="10" t="n">
        <v>3</v>
      </c>
    </row>
    <row r="85" customFormat="false" ht="15" hidden="false" customHeight="false" outlineLevel="0" collapsed="false">
      <c r="A85" s="3" t="s">
        <v>131</v>
      </c>
      <c r="B85" s="10" t="s">
        <v>32</v>
      </c>
      <c r="C85" s="10" t="s">
        <v>60</v>
      </c>
      <c r="D85" s="11" t="n">
        <v>26000000</v>
      </c>
      <c r="E85" s="12" t="n">
        <v>6.4889</v>
      </c>
      <c r="F85" s="10" t="n">
        <v>1</v>
      </c>
      <c r="G85" s="10" t="n">
        <v>0</v>
      </c>
    </row>
    <row r="86" customFormat="false" ht="15" hidden="false" customHeight="false" outlineLevel="0" collapsed="false">
      <c r="A86" s="3" t="s">
        <v>132</v>
      </c>
      <c r="B86" s="10" t="s">
        <v>45</v>
      </c>
      <c r="C86" s="10" t="s">
        <v>60</v>
      </c>
      <c r="D86" s="11" t="n">
        <v>39000000</v>
      </c>
      <c r="E86" s="12" t="n">
        <v>5.4765</v>
      </c>
      <c r="F86" s="10" t="n">
        <v>2</v>
      </c>
      <c r="G86" s="10" t="n">
        <v>6</v>
      </c>
    </row>
    <row r="87" customFormat="false" ht="15" hidden="false" customHeight="false" outlineLevel="0" collapsed="false">
      <c r="A87" s="3" t="s">
        <v>133</v>
      </c>
      <c r="B87" s="10" t="s">
        <v>52</v>
      </c>
      <c r="C87" s="10" t="s">
        <v>36</v>
      </c>
      <c r="D87" s="11" t="n">
        <v>49000000</v>
      </c>
      <c r="E87" s="12" t="n">
        <v>5.0662</v>
      </c>
      <c r="F87" s="10" t="n">
        <v>2</v>
      </c>
      <c r="G87" s="10" t="n">
        <v>0</v>
      </c>
    </row>
    <row r="88" customFormat="false" ht="15" hidden="false" customHeight="false" outlineLevel="0" collapsed="false">
      <c r="A88" s="3" t="s">
        <v>134</v>
      </c>
      <c r="B88" s="10" t="s">
        <v>38</v>
      </c>
      <c r="C88" s="10" t="s">
        <v>66</v>
      </c>
      <c r="D88" s="11" t="n">
        <v>22000000</v>
      </c>
      <c r="E88" s="12" t="n">
        <v>6.3769</v>
      </c>
      <c r="F88" s="10" t="n">
        <v>3</v>
      </c>
      <c r="G88" s="10" t="n">
        <v>0</v>
      </c>
    </row>
    <row r="89" customFormat="false" ht="15" hidden="false" customHeight="false" outlineLevel="0" collapsed="false">
      <c r="A89" s="3" t="s">
        <v>135</v>
      </c>
      <c r="B89" s="10" t="s">
        <v>47</v>
      </c>
      <c r="C89" s="10" t="s">
        <v>49</v>
      </c>
      <c r="D89" s="11" t="n">
        <v>19000000</v>
      </c>
      <c r="E89" s="12" t="n">
        <v>6.795</v>
      </c>
      <c r="F89" s="10" t="n">
        <v>2</v>
      </c>
      <c r="G89" s="10" t="n">
        <v>3</v>
      </c>
    </row>
    <row r="90" customFormat="false" ht="15" hidden="false" customHeight="false" outlineLevel="0" collapsed="false">
      <c r="A90" s="3" t="s">
        <v>136</v>
      </c>
      <c r="B90" s="10" t="s">
        <v>40</v>
      </c>
      <c r="C90" s="10" t="s">
        <v>49</v>
      </c>
      <c r="D90" s="11" t="n">
        <v>2000000</v>
      </c>
      <c r="E90" s="12" t="n">
        <v>1.8309</v>
      </c>
      <c r="F90" s="10" t="n">
        <v>2</v>
      </c>
      <c r="G90" s="10" t="n">
        <v>0</v>
      </c>
    </row>
    <row r="91" customFormat="false" ht="15" hidden="false" customHeight="false" outlineLevel="0" collapsed="false">
      <c r="A91" s="3" t="s">
        <v>137</v>
      </c>
      <c r="B91" s="10" t="s">
        <v>38</v>
      </c>
      <c r="C91" s="10" t="s">
        <v>43</v>
      </c>
      <c r="D91" s="11" t="n">
        <v>4000000</v>
      </c>
      <c r="E91" s="12" t="n">
        <v>6.5892</v>
      </c>
      <c r="F91" s="10" t="n">
        <v>3</v>
      </c>
      <c r="G91" s="10" t="n">
        <v>1</v>
      </c>
    </row>
    <row r="92" customFormat="false" ht="15" hidden="false" customHeight="false" outlineLevel="0" collapsed="false">
      <c r="A92" s="3" t="s">
        <v>138</v>
      </c>
      <c r="B92" s="10" t="s">
        <v>38</v>
      </c>
      <c r="C92" s="10" t="s">
        <v>43</v>
      </c>
      <c r="D92" s="11" t="n">
        <v>24000000</v>
      </c>
      <c r="E92" s="12" t="n">
        <v>3.8013</v>
      </c>
      <c r="F92" s="10" t="n">
        <v>2</v>
      </c>
      <c r="G92" s="10" t="n">
        <v>0</v>
      </c>
    </row>
    <row r="93" customFormat="false" ht="15" hidden="false" customHeight="false" outlineLevel="0" collapsed="false">
      <c r="A93" s="3" t="s">
        <v>284</v>
      </c>
      <c r="B93" s="10" t="s">
        <v>47</v>
      </c>
      <c r="C93" s="10" t="s">
        <v>41</v>
      </c>
      <c r="D93" s="11" t="n">
        <v>40000000</v>
      </c>
      <c r="E93" s="12" t="n">
        <v>3.7711</v>
      </c>
      <c r="F93" s="10" t="n">
        <v>3</v>
      </c>
      <c r="G93" s="10" t="n">
        <v>6</v>
      </c>
    </row>
    <row r="94" customFormat="false" ht="15" hidden="false" customHeight="false" outlineLevel="0" collapsed="false">
      <c r="A94" s="3" t="s">
        <v>139</v>
      </c>
      <c r="B94" s="10" t="s">
        <v>40</v>
      </c>
      <c r="C94" s="10" t="s">
        <v>43</v>
      </c>
      <c r="D94" s="11" t="n">
        <v>39000000</v>
      </c>
      <c r="E94" s="12" t="n">
        <v>1.7342</v>
      </c>
      <c r="F94" s="10" t="n">
        <v>1</v>
      </c>
      <c r="G94" s="10" t="n">
        <v>4</v>
      </c>
    </row>
    <row r="95" customFormat="false" ht="15" hidden="false" customHeight="false" outlineLevel="0" collapsed="false">
      <c r="A95" s="3" t="s">
        <v>140</v>
      </c>
      <c r="B95" s="10" t="s">
        <v>35</v>
      </c>
      <c r="C95" s="10" t="s">
        <v>41</v>
      </c>
      <c r="D95" s="11" t="n">
        <v>18000000</v>
      </c>
      <c r="E95" s="12" t="n">
        <v>1.2593</v>
      </c>
      <c r="F95" s="10" t="n">
        <v>2</v>
      </c>
      <c r="G95" s="10" t="n">
        <v>1</v>
      </c>
    </row>
    <row r="96" customFormat="false" ht="15" hidden="false" customHeight="false" outlineLevel="0" collapsed="false">
      <c r="A96" s="3" t="s">
        <v>141</v>
      </c>
      <c r="B96" s="10" t="s">
        <v>32</v>
      </c>
      <c r="C96" s="10" t="s">
        <v>36</v>
      </c>
      <c r="D96" s="11" t="n">
        <v>22000000</v>
      </c>
      <c r="E96" s="12" t="n">
        <v>3.5162</v>
      </c>
      <c r="F96" s="10" t="n">
        <v>1</v>
      </c>
      <c r="G96" s="10" t="n">
        <v>2</v>
      </c>
    </row>
    <row r="97" customFormat="false" ht="15" hidden="false" customHeight="false" outlineLevel="0" collapsed="false">
      <c r="A97" s="3" t="s">
        <v>142</v>
      </c>
      <c r="B97" s="10" t="s">
        <v>32</v>
      </c>
      <c r="C97" s="10" t="s">
        <v>33</v>
      </c>
      <c r="D97" s="11" t="n">
        <v>35000000</v>
      </c>
      <c r="E97" s="12" t="n">
        <v>6.1592</v>
      </c>
      <c r="F97" s="10" t="n">
        <v>2</v>
      </c>
      <c r="G97" s="10" t="n">
        <v>0</v>
      </c>
    </row>
    <row r="98" customFormat="false" ht="15" hidden="false" customHeight="false" outlineLevel="0" collapsed="false">
      <c r="A98" s="3" t="s">
        <v>143</v>
      </c>
      <c r="B98" s="10" t="s">
        <v>38</v>
      </c>
      <c r="C98" s="10" t="s">
        <v>36</v>
      </c>
      <c r="D98" s="11" t="n">
        <v>34000000</v>
      </c>
      <c r="E98" s="12" t="n">
        <v>1.7065</v>
      </c>
      <c r="F98" s="10" t="n">
        <v>1</v>
      </c>
      <c r="G98" s="10" t="n">
        <v>0</v>
      </c>
    </row>
    <row r="99" customFormat="false" ht="15" hidden="false" customHeight="false" outlineLevel="0" collapsed="false">
      <c r="A99" s="3" t="s">
        <v>144</v>
      </c>
      <c r="B99" s="10" t="s">
        <v>52</v>
      </c>
      <c r="C99" s="10" t="s">
        <v>49</v>
      </c>
      <c r="D99" s="11" t="n">
        <v>24000000</v>
      </c>
      <c r="E99" s="12" t="n">
        <v>6.7666</v>
      </c>
      <c r="F99" s="10" t="n">
        <v>2</v>
      </c>
      <c r="G99" s="10" t="n">
        <v>3</v>
      </c>
    </row>
    <row r="100" customFormat="false" ht="15" hidden="false" customHeight="false" outlineLevel="0" collapsed="false">
      <c r="A100" s="3" t="s">
        <v>145</v>
      </c>
      <c r="B100" s="10" t="s">
        <v>32</v>
      </c>
      <c r="C100" s="10" t="s">
        <v>53</v>
      </c>
      <c r="D100" s="11" t="n">
        <v>22000000</v>
      </c>
      <c r="E100" s="12" t="n">
        <v>3.4281</v>
      </c>
      <c r="F100" s="10" t="n">
        <v>2</v>
      </c>
      <c r="G100" s="10" t="n">
        <v>1</v>
      </c>
    </row>
    <row r="101" customFormat="false" ht="15" hidden="false" customHeight="false" outlineLevel="0" collapsed="false">
      <c r="A101" s="3" t="s">
        <v>146</v>
      </c>
      <c r="B101" s="10" t="s">
        <v>47</v>
      </c>
      <c r="C101" s="10" t="s">
        <v>36</v>
      </c>
      <c r="D101" s="11" t="n">
        <v>2000000</v>
      </c>
      <c r="E101" s="12" t="n">
        <v>6.0222</v>
      </c>
      <c r="F101" s="10" t="n">
        <v>1</v>
      </c>
      <c r="G101" s="10" t="n">
        <v>1</v>
      </c>
    </row>
    <row r="102" customFormat="false" ht="15" hidden="false" customHeight="false" outlineLevel="0" collapsed="false">
      <c r="A102" s="3" t="s">
        <v>147</v>
      </c>
      <c r="B102" s="10" t="s">
        <v>35</v>
      </c>
      <c r="C102" s="10" t="s">
        <v>33</v>
      </c>
      <c r="D102" s="11" t="n">
        <v>34000000</v>
      </c>
      <c r="E102" s="12" t="n">
        <v>4.3543</v>
      </c>
      <c r="F102" s="10" t="n">
        <v>2</v>
      </c>
      <c r="G102" s="10" t="n">
        <v>0</v>
      </c>
    </row>
    <row r="103" customFormat="false" ht="15" hidden="false" customHeight="false" outlineLevel="0" collapsed="false">
      <c r="A103" s="3" t="s">
        <v>148</v>
      </c>
      <c r="B103" s="10" t="s">
        <v>32</v>
      </c>
      <c r="C103" s="10" t="s">
        <v>33</v>
      </c>
      <c r="D103" s="11" t="n">
        <v>10000000</v>
      </c>
      <c r="E103" s="12" t="n">
        <v>6.7799</v>
      </c>
      <c r="F103" s="10" t="n">
        <v>2</v>
      </c>
      <c r="G103" s="10" t="n">
        <v>2</v>
      </c>
    </row>
    <row r="104" customFormat="false" ht="15" hidden="false" customHeight="false" outlineLevel="0" collapsed="false">
      <c r="A104" s="3" t="s">
        <v>149</v>
      </c>
      <c r="B104" s="10" t="s">
        <v>38</v>
      </c>
      <c r="C104" s="10" t="s">
        <v>33</v>
      </c>
      <c r="D104" s="11" t="n">
        <v>34000000</v>
      </c>
      <c r="E104" s="12" t="n">
        <v>5.5561</v>
      </c>
      <c r="F104" s="10" t="n">
        <v>1</v>
      </c>
      <c r="G104" s="10" t="n">
        <v>1</v>
      </c>
    </row>
    <row r="105" customFormat="false" ht="15" hidden="false" customHeight="false" outlineLevel="0" collapsed="false">
      <c r="A105" s="3" t="s">
        <v>150</v>
      </c>
      <c r="B105" s="10" t="s">
        <v>45</v>
      </c>
      <c r="C105" s="10" t="s">
        <v>66</v>
      </c>
      <c r="D105" s="11" t="n">
        <v>46000000</v>
      </c>
      <c r="E105" s="12" t="n">
        <v>1.3293</v>
      </c>
      <c r="F105" s="10" t="n">
        <v>2</v>
      </c>
      <c r="G105" s="10" t="n">
        <v>0</v>
      </c>
    </row>
    <row r="106" customFormat="false" ht="15" hidden="false" customHeight="false" outlineLevel="0" collapsed="false">
      <c r="A106" s="3" t="s">
        <v>152</v>
      </c>
      <c r="B106" s="10" t="s">
        <v>45</v>
      </c>
      <c r="C106" s="10" t="s">
        <v>41</v>
      </c>
      <c r="D106" s="11" t="n">
        <v>17000000</v>
      </c>
      <c r="E106" s="12" t="n">
        <v>3.3246</v>
      </c>
      <c r="F106" s="10" t="n">
        <v>1</v>
      </c>
      <c r="G106" s="10" t="n">
        <v>1</v>
      </c>
    </row>
    <row r="107" customFormat="false" ht="15" hidden="false" customHeight="false" outlineLevel="0" collapsed="false">
      <c r="A107" s="3" t="s">
        <v>153</v>
      </c>
      <c r="B107" s="10" t="s">
        <v>32</v>
      </c>
      <c r="C107" s="10" t="s">
        <v>60</v>
      </c>
      <c r="D107" s="11" t="n">
        <v>28000000</v>
      </c>
      <c r="E107" s="12" t="n">
        <v>1.7643</v>
      </c>
      <c r="F107" s="10" t="n">
        <v>1</v>
      </c>
      <c r="G107" s="10" t="n">
        <v>6</v>
      </c>
    </row>
    <row r="108" customFormat="false" ht="15" hidden="false" customHeight="false" outlineLevel="0" collapsed="false">
      <c r="A108" s="3" t="s">
        <v>154</v>
      </c>
      <c r="B108" s="10" t="s">
        <v>40</v>
      </c>
      <c r="C108" s="10" t="s">
        <v>36</v>
      </c>
      <c r="D108" s="11" t="n">
        <v>47000000</v>
      </c>
      <c r="E108" s="12" t="n">
        <v>1.1511</v>
      </c>
      <c r="F108" s="10" t="n">
        <v>2</v>
      </c>
      <c r="G108" s="10" t="n">
        <v>0</v>
      </c>
    </row>
    <row r="109" customFormat="false" ht="15" hidden="false" customHeight="false" outlineLevel="0" collapsed="false">
      <c r="A109" s="3" t="s">
        <v>155</v>
      </c>
      <c r="B109" s="10" t="s">
        <v>35</v>
      </c>
      <c r="C109" s="10" t="s">
        <v>33</v>
      </c>
      <c r="D109" s="11" t="n">
        <v>35000000</v>
      </c>
      <c r="E109" s="12" t="n">
        <v>3.5831</v>
      </c>
      <c r="F109" s="10" t="n">
        <v>3</v>
      </c>
      <c r="G109" s="10" t="n">
        <v>3</v>
      </c>
    </row>
    <row r="110" customFormat="false" ht="15" hidden="false" customHeight="false" outlineLevel="0" collapsed="false">
      <c r="A110" s="3" t="s">
        <v>156</v>
      </c>
      <c r="B110" s="10" t="s">
        <v>38</v>
      </c>
      <c r="C110" s="10" t="s">
        <v>66</v>
      </c>
      <c r="D110" s="11" t="n">
        <v>48000000</v>
      </c>
      <c r="E110" s="12" t="n">
        <v>1.5982</v>
      </c>
      <c r="F110" s="10" t="n">
        <v>3</v>
      </c>
      <c r="G110" s="10" t="n">
        <v>1</v>
      </c>
    </row>
    <row r="111" customFormat="false" ht="15" hidden="false" customHeight="false" outlineLevel="0" collapsed="false">
      <c r="A111" s="3" t="s">
        <v>157</v>
      </c>
      <c r="B111" s="10" t="s">
        <v>35</v>
      </c>
      <c r="C111" s="10" t="s">
        <v>41</v>
      </c>
      <c r="D111" s="11" t="n">
        <v>23000000</v>
      </c>
      <c r="E111" s="12" t="n">
        <v>6.5277</v>
      </c>
      <c r="F111" s="10" t="n">
        <v>1</v>
      </c>
      <c r="G111" s="10" t="n">
        <v>0</v>
      </c>
    </row>
    <row r="112" customFormat="false" ht="15" hidden="false" customHeight="false" outlineLevel="0" collapsed="false">
      <c r="A112" s="3" t="s">
        <v>158</v>
      </c>
      <c r="B112" s="10" t="s">
        <v>40</v>
      </c>
      <c r="C112" s="10" t="s">
        <v>33</v>
      </c>
      <c r="D112" s="11" t="n">
        <v>35000000</v>
      </c>
      <c r="E112" s="12" t="n">
        <v>5.045</v>
      </c>
      <c r="F112" s="10" t="n">
        <v>3</v>
      </c>
      <c r="G112" s="10" t="n">
        <v>0</v>
      </c>
    </row>
    <row r="113" customFormat="false" ht="15" hidden="false" customHeight="false" outlineLevel="0" collapsed="false">
      <c r="A113" s="3" t="s">
        <v>159</v>
      </c>
      <c r="B113" s="10" t="s">
        <v>38</v>
      </c>
      <c r="C113" s="10" t="s">
        <v>36</v>
      </c>
      <c r="D113" s="11" t="n">
        <v>20000000</v>
      </c>
      <c r="E113" s="12" t="n">
        <v>5.5175</v>
      </c>
      <c r="F113" s="10" t="n">
        <v>1</v>
      </c>
      <c r="G113" s="10" t="n">
        <v>0</v>
      </c>
    </row>
    <row r="114" customFormat="false" ht="15" hidden="false" customHeight="false" outlineLevel="0" collapsed="false">
      <c r="A114" s="3" t="s">
        <v>160</v>
      </c>
      <c r="B114" s="10" t="s">
        <v>32</v>
      </c>
      <c r="C114" s="10" t="s">
        <v>49</v>
      </c>
      <c r="D114" s="11" t="n">
        <v>23000000</v>
      </c>
      <c r="E114" s="12" t="n">
        <v>3.5652</v>
      </c>
      <c r="F114" s="10" t="n">
        <v>2</v>
      </c>
      <c r="G114" s="10" t="n">
        <v>3</v>
      </c>
    </row>
    <row r="115" customFormat="false" ht="15" hidden="false" customHeight="false" outlineLevel="0" collapsed="false">
      <c r="A115" s="3" t="s">
        <v>161</v>
      </c>
      <c r="B115" s="10" t="s">
        <v>40</v>
      </c>
      <c r="C115" s="10" t="s">
        <v>60</v>
      </c>
      <c r="D115" s="11" t="n">
        <v>23000000</v>
      </c>
      <c r="E115" s="12" t="n">
        <v>5.1405</v>
      </c>
      <c r="F115" s="10" t="n">
        <v>2</v>
      </c>
      <c r="G115" s="10" t="n">
        <v>0</v>
      </c>
    </row>
    <row r="116" customFormat="false" ht="15" hidden="false" customHeight="false" outlineLevel="0" collapsed="false">
      <c r="A116" s="3" t="s">
        <v>162</v>
      </c>
      <c r="B116" s="10" t="s">
        <v>52</v>
      </c>
      <c r="C116" s="10" t="s">
        <v>49</v>
      </c>
      <c r="D116" s="11" t="n">
        <v>32000000</v>
      </c>
      <c r="E116" s="12" t="n">
        <v>3.718</v>
      </c>
      <c r="F116" s="10" t="n">
        <v>2</v>
      </c>
      <c r="G116" s="10" t="n">
        <v>1</v>
      </c>
    </row>
    <row r="117" customFormat="false" ht="15" hidden="false" customHeight="false" outlineLevel="0" collapsed="false">
      <c r="A117" s="3" t="s">
        <v>163</v>
      </c>
      <c r="B117" s="10" t="s">
        <v>45</v>
      </c>
      <c r="C117" s="10" t="s">
        <v>43</v>
      </c>
      <c r="D117" s="11" t="n">
        <v>4000000</v>
      </c>
      <c r="E117" s="12" t="n">
        <v>6.3806</v>
      </c>
      <c r="F117" s="10" t="n">
        <v>1</v>
      </c>
      <c r="G117" s="10" t="n">
        <v>0</v>
      </c>
    </row>
    <row r="118" customFormat="false" ht="15" hidden="false" customHeight="false" outlineLevel="0" collapsed="false">
      <c r="A118" s="3" t="s">
        <v>164</v>
      </c>
      <c r="B118" s="10" t="s">
        <v>40</v>
      </c>
      <c r="C118" s="10" t="s">
        <v>53</v>
      </c>
      <c r="D118" s="11" t="n">
        <v>33000000</v>
      </c>
      <c r="E118" s="12" t="n">
        <v>1.2955</v>
      </c>
      <c r="F118" s="10" t="n">
        <v>3</v>
      </c>
      <c r="G118" s="10" t="n">
        <v>4</v>
      </c>
    </row>
    <row r="119" customFormat="false" ht="15" hidden="false" customHeight="false" outlineLevel="0" collapsed="false">
      <c r="A119" s="3" t="s">
        <v>165</v>
      </c>
      <c r="B119" s="10" t="s">
        <v>52</v>
      </c>
      <c r="C119" s="10" t="s">
        <v>43</v>
      </c>
      <c r="D119" s="11" t="n">
        <v>2000000</v>
      </c>
      <c r="E119" s="12" t="n">
        <v>5.9379</v>
      </c>
      <c r="F119" s="10" t="n">
        <v>1</v>
      </c>
      <c r="G119" s="10" t="n">
        <v>1</v>
      </c>
    </row>
    <row r="120" customFormat="false" ht="15" hidden="false" customHeight="false" outlineLevel="0" collapsed="false">
      <c r="A120" s="3" t="s">
        <v>166</v>
      </c>
      <c r="B120" s="10" t="s">
        <v>35</v>
      </c>
      <c r="C120" s="10" t="s">
        <v>53</v>
      </c>
      <c r="D120" s="11" t="n">
        <v>29000000</v>
      </c>
      <c r="E120" s="12" t="n">
        <v>5.7857</v>
      </c>
      <c r="F120" s="10" t="n">
        <v>1</v>
      </c>
      <c r="G120" s="10" t="n">
        <v>1</v>
      </c>
    </row>
    <row r="121" customFormat="false" ht="15" hidden="false" customHeight="false" outlineLevel="0" collapsed="false">
      <c r="A121" s="3" t="s">
        <v>167</v>
      </c>
      <c r="B121" s="10" t="s">
        <v>52</v>
      </c>
      <c r="C121" s="10" t="s">
        <v>53</v>
      </c>
      <c r="D121" s="11" t="n">
        <v>8000000</v>
      </c>
      <c r="E121" s="12" t="n">
        <v>1.2436</v>
      </c>
      <c r="F121" s="10" t="n">
        <v>1</v>
      </c>
      <c r="G121" s="10" t="n">
        <v>3</v>
      </c>
    </row>
    <row r="122" customFormat="false" ht="15" hidden="false" customHeight="false" outlineLevel="0" collapsed="false">
      <c r="A122" s="3" t="s">
        <v>168</v>
      </c>
      <c r="B122" s="10" t="s">
        <v>40</v>
      </c>
      <c r="C122" s="10" t="s">
        <v>36</v>
      </c>
      <c r="D122" s="11" t="n">
        <v>44000000</v>
      </c>
      <c r="E122" s="12" t="n">
        <v>3.2261</v>
      </c>
      <c r="F122" s="10" t="n">
        <v>3</v>
      </c>
      <c r="G122" s="10" t="n">
        <v>7</v>
      </c>
    </row>
    <row r="123" customFormat="false" ht="15" hidden="false" customHeight="false" outlineLevel="0" collapsed="false">
      <c r="A123" s="3" t="s">
        <v>169</v>
      </c>
      <c r="B123" s="10" t="s">
        <v>47</v>
      </c>
      <c r="C123" s="10" t="s">
        <v>49</v>
      </c>
      <c r="D123" s="11" t="n">
        <v>47000000</v>
      </c>
      <c r="E123" s="12" t="n">
        <v>4.5627</v>
      </c>
      <c r="F123" s="10" t="n">
        <v>1</v>
      </c>
      <c r="G123" s="10" t="n">
        <v>1</v>
      </c>
    </row>
    <row r="124" customFormat="false" ht="15" hidden="false" customHeight="false" outlineLevel="0" collapsed="false">
      <c r="A124" s="3" t="s">
        <v>170</v>
      </c>
      <c r="B124" s="10" t="s">
        <v>32</v>
      </c>
      <c r="C124" s="10" t="s">
        <v>49</v>
      </c>
      <c r="D124" s="11" t="n">
        <v>16000000</v>
      </c>
      <c r="E124" s="12" t="n">
        <v>6.8198</v>
      </c>
      <c r="F124" s="10" t="n">
        <v>3</v>
      </c>
      <c r="G124" s="10" t="n">
        <v>6</v>
      </c>
    </row>
    <row r="125" customFormat="false" ht="15" hidden="false" customHeight="false" outlineLevel="0" collapsed="false">
      <c r="A125" s="3" t="s">
        <v>171</v>
      </c>
      <c r="B125" s="10" t="s">
        <v>32</v>
      </c>
      <c r="C125" s="10" t="s">
        <v>60</v>
      </c>
      <c r="D125" s="11" t="n">
        <v>31000000</v>
      </c>
      <c r="E125" s="12" t="n">
        <v>2.3699</v>
      </c>
      <c r="F125" s="10" t="n">
        <v>1</v>
      </c>
      <c r="G125" s="10" t="n">
        <v>1</v>
      </c>
    </row>
    <row r="126" customFormat="false" ht="15" hidden="false" customHeight="false" outlineLevel="0" collapsed="false">
      <c r="A126" s="3" t="s">
        <v>172</v>
      </c>
      <c r="B126" s="10" t="s">
        <v>52</v>
      </c>
      <c r="C126" s="10" t="s">
        <v>43</v>
      </c>
      <c r="D126" s="11" t="n">
        <v>49000000</v>
      </c>
      <c r="E126" s="12" t="n">
        <v>3.696</v>
      </c>
      <c r="F126" s="10" t="n">
        <v>1</v>
      </c>
      <c r="G126" s="10" t="n">
        <v>2</v>
      </c>
    </row>
    <row r="127" customFormat="false" ht="15" hidden="false" customHeight="false" outlineLevel="0" collapsed="false">
      <c r="A127" s="3" t="s">
        <v>173</v>
      </c>
      <c r="B127" s="10" t="s">
        <v>47</v>
      </c>
      <c r="C127" s="10" t="s">
        <v>66</v>
      </c>
      <c r="D127" s="11" t="n">
        <v>35000000</v>
      </c>
      <c r="E127" s="12" t="n">
        <v>3.7407</v>
      </c>
      <c r="F127" s="10" t="n">
        <v>3</v>
      </c>
      <c r="G127" s="10" t="n">
        <v>2</v>
      </c>
    </row>
    <row r="128" customFormat="false" ht="15" hidden="false" customHeight="false" outlineLevel="0" collapsed="false">
      <c r="A128" s="3" t="s">
        <v>174</v>
      </c>
      <c r="B128" s="10" t="s">
        <v>35</v>
      </c>
      <c r="C128" s="10" t="s">
        <v>36</v>
      </c>
      <c r="D128" s="11" t="n">
        <v>1000000</v>
      </c>
      <c r="E128" s="12" t="n">
        <v>6.9761</v>
      </c>
      <c r="F128" s="10" t="n">
        <v>3</v>
      </c>
      <c r="G128" s="10" t="n">
        <v>5</v>
      </c>
    </row>
    <row r="129" customFormat="false" ht="15" hidden="false" customHeight="false" outlineLevel="0" collapsed="false">
      <c r="A129" s="3" t="s">
        <v>175</v>
      </c>
      <c r="B129" s="10" t="s">
        <v>35</v>
      </c>
      <c r="C129" s="10" t="s">
        <v>33</v>
      </c>
      <c r="D129" s="11" t="n">
        <v>6000000</v>
      </c>
      <c r="E129" s="12" t="n">
        <v>1.6487</v>
      </c>
      <c r="F129" s="10" t="n">
        <v>2</v>
      </c>
      <c r="G129" s="10" t="n">
        <v>4</v>
      </c>
    </row>
    <row r="130" customFormat="false" ht="15" hidden="false" customHeight="false" outlineLevel="0" collapsed="false">
      <c r="A130" s="3" t="s">
        <v>176</v>
      </c>
      <c r="B130" s="10" t="s">
        <v>38</v>
      </c>
      <c r="C130" s="10" t="s">
        <v>49</v>
      </c>
      <c r="D130" s="11" t="n">
        <v>9000000</v>
      </c>
      <c r="E130" s="12" t="n">
        <v>2.8138</v>
      </c>
      <c r="F130" s="10" t="n">
        <v>2</v>
      </c>
      <c r="G130" s="10" t="n">
        <v>3</v>
      </c>
    </row>
    <row r="131" customFormat="false" ht="15" hidden="false" customHeight="false" outlineLevel="0" collapsed="false">
      <c r="A131" s="3" t="s">
        <v>177</v>
      </c>
      <c r="B131" s="10" t="s">
        <v>45</v>
      </c>
      <c r="C131" s="10" t="s">
        <v>66</v>
      </c>
      <c r="D131" s="11" t="n">
        <v>37000000</v>
      </c>
      <c r="E131" s="12" t="n">
        <v>3.8272</v>
      </c>
      <c r="F131" s="10" t="n">
        <v>3</v>
      </c>
      <c r="G131" s="10" t="n">
        <v>1</v>
      </c>
    </row>
    <row r="132" customFormat="false" ht="15" hidden="false" customHeight="false" outlineLevel="0" collapsed="false">
      <c r="A132" s="3" t="s">
        <v>178</v>
      </c>
      <c r="B132" s="10" t="s">
        <v>45</v>
      </c>
      <c r="C132" s="10" t="s">
        <v>49</v>
      </c>
      <c r="D132" s="11" t="n">
        <v>24000000</v>
      </c>
      <c r="E132" s="12" t="n">
        <v>1.4708</v>
      </c>
      <c r="F132" s="10" t="n">
        <v>2</v>
      </c>
      <c r="G132" s="10" t="n">
        <v>0</v>
      </c>
    </row>
    <row r="133" customFormat="false" ht="15" hidden="false" customHeight="false" outlineLevel="0" collapsed="false">
      <c r="A133" s="3" t="s">
        <v>179</v>
      </c>
      <c r="B133" s="10" t="s">
        <v>40</v>
      </c>
      <c r="C133" s="10" t="s">
        <v>41</v>
      </c>
      <c r="D133" s="11" t="n">
        <v>46228730</v>
      </c>
      <c r="E133" s="12" t="n">
        <v>3.723</v>
      </c>
      <c r="F133" s="10" t="n">
        <v>1</v>
      </c>
      <c r="G133" s="10" t="n">
        <v>2</v>
      </c>
    </row>
    <row r="134" customFormat="false" ht="15" hidden="false" customHeight="false" outlineLevel="0" collapsed="false">
      <c r="A134" s="3" t="s">
        <v>180</v>
      </c>
      <c r="B134" s="10" t="s">
        <v>40</v>
      </c>
      <c r="C134" s="10" t="s">
        <v>43</v>
      </c>
      <c r="D134" s="11" t="n">
        <v>41000000</v>
      </c>
      <c r="E134" s="12" t="n">
        <v>4.9668</v>
      </c>
      <c r="F134" s="10" t="n">
        <v>3</v>
      </c>
      <c r="G134" s="10" t="n">
        <v>4</v>
      </c>
    </row>
    <row r="135" customFormat="false" ht="15" hidden="false" customHeight="false" outlineLevel="0" collapsed="false">
      <c r="A135" s="3" t="s">
        <v>181</v>
      </c>
      <c r="B135" s="10" t="s">
        <v>45</v>
      </c>
      <c r="C135" s="10" t="s">
        <v>33</v>
      </c>
      <c r="D135" s="11" t="n">
        <v>28000000</v>
      </c>
      <c r="E135" s="12" t="n">
        <v>2.0567</v>
      </c>
      <c r="F135" s="10" t="n">
        <v>2</v>
      </c>
      <c r="G135" s="10" t="n">
        <v>2</v>
      </c>
    </row>
    <row r="136" customFormat="false" ht="15" hidden="false" customHeight="false" outlineLevel="0" collapsed="false">
      <c r="A136" s="3" t="s">
        <v>285</v>
      </c>
      <c r="B136" s="10" t="s">
        <v>40</v>
      </c>
      <c r="C136" s="10" t="s">
        <v>33</v>
      </c>
      <c r="D136" s="11" t="n">
        <v>10000000</v>
      </c>
      <c r="E136" s="12" t="n">
        <v>4.705</v>
      </c>
      <c r="F136" s="10" t="n">
        <v>3</v>
      </c>
      <c r="G136" s="10" t="n">
        <v>7</v>
      </c>
    </row>
    <row r="137" customFormat="false" ht="15" hidden="false" customHeight="false" outlineLevel="0" collapsed="false">
      <c r="A137" s="3" t="s">
        <v>182</v>
      </c>
      <c r="B137" s="10" t="s">
        <v>35</v>
      </c>
      <c r="C137" s="10" t="s">
        <v>49</v>
      </c>
      <c r="D137" s="11" t="n">
        <v>22000000</v>
      </c>
      <c r="E137" s="12" t="n">
        <v>2.0157</v>
      </c>
      <c r="F137" s="10" t="n">
        <v>1</v>
      </c>
      <c r="G137" s="10" t="n">
        <v>3</v>
      </c>
    </row>
    <row r="138" customFormat="false" ht="15" hidden="false" customHeight="false" outlineLevel="0" collapsed="false">
      <c r="A138" s="3" t="s">
        <v>183</v>
      </c>
      <c r="B138" s="10" t="s">
        <v>40</v>
      </c>
      <c r="C138" s="10" t="s">
        <v>43</v>
      </c>
      <c r="D138" s="11" t="n">
        <v>9000000</v>
      </c>
      <c r="E138" s="12" t="n">
        <v>3.2484</v>
      </c>
      <c r="F138" s="10" t="n">
        <v>2</v>
      </c>
      <c r="G138" s="10" t="n">
        <v>0</v>
      </c>
    </row>
    <row r="139" customFormat="false" ht="15" hidden="false" customHeight="false" outlineLevel="0" collapsed="false">
      <c r="A139" s="3" t="s">
        <v>184</v>
      </c>
      <c r="B139" s="10" t="s">
        <v>32</v>
      </c>
      <c r="C139" s="10" t="s">
        <v>66</v>
      </c>
      <c r="D139" s="11" t="n">
        <v>15000000</v>
      </c>
      <c r="E139" s="12" t="n">
        <v>1.8159</v>
      </c>
      <c r="F139" s="10" t="n">
        <v>2</v>
      </c>
      <c r="G139" s="10" t="n">
        <v>4</v>
      </c>
    </row>
    <row r="140" customFormat="false" ht="15" hidden="false" customHeight="false" outlineLevel="0" collapsed="false">
      <c r="A140" s="3" t="s">
        <v>185</v>
      </c>
      <c r="B140" s="10" t="s">
        <v>35</v>
      </c>
      <c r="C140" s="10" t="s">
        <v>66</v>
      </c>
      <c r="D140" s="11" t="n">
        <v>6000000</v>
      </c>
      <c r="E140" s="12" t="n">
        <v>1.4524</v>
      </c>
      <c r="F140" s="10" t="n">
        <v>1</v>
      </c>
      <c r="G140" s="10" t="n">
        <v>1</v>
      </c>
    </row>
    <row r="141" customFormat="false" ht="15" hidden="false" customHeight="false" outlineLevel="0" collapsed="false">
      <c r="A141" s="3" t="s">
        <v>186</v>
      </c>
      <c r="B141" s="10" t="s">
        <v>40</v>
      </c>
      <c r="C141" s="10" t="s">
        <v>53</v>
      </c>
      <c r="D141" s="11" t="n">
        <v>10000000</v>
      </c>
      <c r="E141" s="12" t="n">
        <v>5.0302</v>
      </c>
      <c r="F141" s="10" t="n">
        <v>3</v>
      </c>
      <c r="G141" s="10" t="n">
        <v>3</v>
      </c>
    </row>
    <row r="142" customFormat="false" ht="15" hidden="false" customHeight="false" outlineLevel="0" collapsed="false">
      <c r="A142" s="3" t="s">
        <v>187</v>
      </c>
      <c r="B142" s="10" t="s">
        <v>35</v>
      </c>
      <c r="C142" s="10" t="s">
        <v>60</v>
      </c>
      <c r="D142" s="11" t="n">
        <v>47000000</v>
      </c>
      <c r="E142" s="12" t="n">
        <v>3.1387</v>
      </c>
      <c r="F142" s="10" t="n">
        <v>2</v>
      </c>
      <c r="G142" s="10" t="n">
        <v>3</v>
      </c>
    </row>
    <row r="143" customFormat="false" ht="15" hidden="false" customHeight="false" outlineLevel="0" collapsed="false">
      <c r="A143" s="3" t="s">
        <v>188</v>
      </c>
      <c r="B143" s="10" t="s">
        <v>32</v>
      </c>
      <c r="C143" s="10" t="s">
        <v>49</v>
      </c>
      <c r="D143" s="11" t="n">
        <v>5000000</v>
      </c>
      <c r="E143" s="12" t="n">
        <v>4.8623</v>
      </c>
      <c r="F143" s="10" t="n">
        <v>3</v>
      </c>
      <c r="G143" s="10" t="n">
        <v>0</v>
      </c>
    </row>
    <row r="144" customFormat="false" ht="15" hidden="false" customHeight="false" outlineLevel="0" collapsed="false">
      <c r="A144" s="3" t="s">
        <v>189</v>
      </c>
      <c r="B144" s="10" t="s">
        <v>40</v>
      </c>
      <c r="C144" s="10" t="s">
        <v>43</v>
      </c>
      <c r="D144" s="11" t="n">
        <v>25000000</v>
      </c>
      <c r="E144" s="12" t="n">
        <v>4.439</v>
      </c>
      <c r="F144" s="10" t="n">
        <v>1</v>
      </c>
      <c r="G144" s="10" t="n">
        <v>0</v>
      </c>
    </row>
    <row r="145" customFormat="false" ht="15" hidden="false" customHeight="false" outlineLevel="0" collapsed="false">
      <c r="A145" s="3" t="s">
        <v>190</v>
      </c>
      <c r="B145" s="10" t="s">
        <v>32</v>
      </c>
      <c r="C145" s="10" t="s">
        <v>43</v>
      </c>
      <c r="D145" s="11" t="n">
        <v>4000000</v>
      </c>
      <c r="E145" s="12" t="n">
        <v>3.4227</v>
      </c>
      <c r="F145" s="10" t="n">
        <v>2</v>
      </c>
      <c r="G145" s="10" t="n">
        <v>8</v>
      </c>
    </row>
    <row r="146" customFormat="false" ht="15" hidden="false" customHeight="false" outlineLevel="0" collapsed="false">
      <c r="A146" s="3" t="s">
        <v>191</v>
      </c>
      <c r="B146" s="10" t="s">
        <v>35</v>
      </c>
      <c r="C146" s="10" t="s">
        <v>60</v>
      </c>
      <c r="D146" s="11" t="n">
        <v>13000000</v>
      </c>
      <c r="E146" s="12" t="n">
        <v>5.7683</v>
      </c>
      <c r="F146" s="10" t="n">
        <v>2</v>
      </c>
      <c r="G146" s="10" t="n">
        <v>0</v>
      </c>
    </row>
    <row r="147" customFormat="false" ht="15" hidden="false" customHeight="false" outlineLevel="0" collapsed="false">
      <c r="A147" s="3" t="s">
        <v>192</v>
      </c>
      <c r="B147" s="10" t="s">
        <v>35</v>
      </c>
      <c r="C147" s="10" t="s">
        <v>41</v>
      </c>
      <c r="D147" s="11" t="n">
        <v>16000000</v>
      </c>
      <c r="E147" s="12" t="n">
        <v>2.867</v>
      </c>
      <c r="F147" s="10" t="n">
        <v>2</v>
      </c>
      <c r="G147" s="10" t="n">
        <v>3</v>
      </c>
    </row>
    <row r="148" customFormat="false" ht="15" hidden="false" customHeight="false" outlineLevel="0" collapsed="false">
      <c r="A148" s="3" t="s">
        <v>193</v>
      </c>
      <c r="B148" s="10" t="s">
        <v>45</v>
      </c>
      <c r="C148" s="10" t="s">
        <v>66</v>
      </c>
      <c r="D148" s="11" t="n">
        <v>37000000</v>
      </c>
      <c r="E148" s="12" t="n">
        <v>6.746</v>
      </c>
      <c r="F148" s="10" t="n">
        <v>1</v>
      </c>
      <c r="G148" s="10" t="n">
        <v>0</v>
      </c>
    </row>
    <row r="149" customFormat="false" ht="15" hidden="false" customHeight="false" outlineLevel="0" collapsed="false">
      <c r="A149" s="3" t="s">
        <v>194</v>
      </c>
      <c r="B149" s="10" t="s">
        <v>38</v>
      </c>
      <c r="C149" s="10" t="s">
        <v>41</v>
      </c>
      <c r="D149" s="11" t="n">
        <v>22000000</v>
      </c>
      <c r="E149" s="12" t="n">
        <v>2.9938</v>
      </c>
      <c r="F149" s="10" t="n">
        <v>2</v>
      </c>
      <c r="G149" s="10" t="n">
        <v>5</v>
      </c>
    </row>
    <row r="150" customFormat="false" ht="15" hidden="false" customHeight="false" outlineLevel="0" collapsed="false">
      <c r="A150" s="3" t="s">
        <v>195</v>
      </c>
      <c r="B150" s="10" t="s">
        <v>45</v>
      </c>
      <c r="C150" s="10" t="s">
        <v>33</v>
      </c>
      <c r="D150" s="11" t="n">
        <v>2000000</v>
      </c>
      <c r="E150" s="12" t="n">
        <v>5.0331</v>
      </c>
      <c r="F150" s="10" t="n">
        <v>2</v>
      </c>
      <c r="G150" s="10" t="n">
        <v>3</v>
      </c>
    </row>
    <row r="151" customFormat="false" ht="15" hidden="false" customHeight="false" outlineLevel="0" collapsed="false">
      <c r="A151" s="3" t="s">
        <v>196</v>
      </c>
      <c r="B151" s="10" t="s">
        <v>40</v>
      </c>
      <c r="C151" s="10" t="s">
        <v>60</v>
      </c>
      <c r="D151" s="11" t="n">
        <v>7000000</v>
      </c>
      <c r="E151" s="12" t="n">
        <v>4.6039</v>
      </c>
      <c r="F151" s="10" t="n">
        <v>3</v>
      </c>
      <c r="G151" s="10" t="n">
        <v>0</v>
      </c>
    </row>
    <row r="152" customFormat="false" ht="15" hidden="false" customHeight="false" outlineLevel="0" collapsed="false">
      <c r="A152" s="3" t="s">
        <v>197</v>
      </c>
      <c r="B152" s="10" t="s">
        <v>32</v>
      </c>
      <c r="C152" s="10" t="s">
        <v>41</v>
      </c>
      <c r="D152" s="11" t="n">
        <v>36000000</v>
      </c>
      <c r="E152" s="12" t="n">
        <v>1.5221</v>
      </c>
      <c r="F152" s="10" t="n">
        <v>3</v>
      </c>
      <c r="G152" s="10" t="n">
        <v>1</v>
      </c>
    </row>
    <row r="153" customFormat="false" ht="15" hidden="false" customHeight="false" outlineLevel="0" collapsed="false">
      <c r="A153" s="3" t="s">
        <v>198</v>
      </c>
      <c r="B153" s="10" t="s">
        <v>40</v>
      </c>
      <c r="C153" s="10" t="s">
        <v>66</v>
      </c>
      <c r="D153" s="11" t="n">
        <v>21000000</v>
      </c>
      <c r="E153" s="12" t="n">
        <v>4.6525</v>
      </c>
      <c r="F153" s="10" t="n">
        <v>3</v>
      </c>
      <c r="G153" s="10" t="n">
        <v>0</v>
      </c>
    </row>
    <row r="154" customFormat="false" ht="15" hidden="false" customHeight="false" outlineLevel="0" collapsed="false">
      <c r="A154" s="3" t="s">
        <v>199</v>
      </c>
      <c r="B154" s="10" t="s">
        <v>32</v>
      </c>
      <c r="C154" s="10" t="s">
        <v>49</v>
      </c>
      <c r="D154" s="11" t="n">
        <v>26000000</v>
      </c>
      <c r="E154" s="12" t="n">
        <v>4.7055</v>
      </c>
      <c r="F154" s="10" t="n">
        <v>2</v>
      </c>
      <c r="G154" s="10" t="n">
        <v>0</v>
      </c>
    </row>
    <row r="155" customFormat="false" ht="15" hidden="false" customHeight="false" outlineLevel="0" collapsed="false">
      <c r="A155" s="3" t="s">
        <v>200</v>
      </c>
      <c r="B155" s="10" t="s">
        <v>47</v>
      </c>
      <c r="C155" s="10" t="s">
        <v>60</v>
      </c>
      <c r="D155" s="11" t="n">
        <v>37000000</v>
      </c>
      <c r="E155" s="12" t="n">
        <v>4.0386</v>
      </c>
      <c r="F155" s="10" t="n">
        <v>3</v>
      </c>
      <c r="G155" s="10" t="n">
        <v>0</v>
      </c>
    </row>
    <row r="156" customFormat="false" ht="15" hidden="false" customHeight="false" outlineLevel="0" collapsed="false">
      <c r="A156" s="3" t="s">
        <v>201</v>
      </c>
      <c r="B156" s="10" t="s">
        <v>32</v>
      </c>
      <c r="C156" s="10" t="s">
        <v>33</v>
      </c>
      <c r="D156" s="11" t="n">
        <v>21000000</v>
      </c>
      <c r="E156" s="12" t="n">
        <v>3.3768</v>
      </c>
      <c r="F156" s="10" t="n">
        <v>3</v>
      </c>
      <c r="G156" s="10" t="n">
        <v>0</v>
      </c>
    </row>
    <row r="157" customFormat="false" ht="15" hidden="false" customHeight="false" outlineLevel="0" collapsed="false">
      <c r="A157" s="3" t="s">
        <v>202</v>
      </c>
      <c r="B157" s="10" t="s">
        <v>35</v>
      </c>
      <c r="C157" s="10" t="s">
        <v>49</v>
      </c>
      <c r="D157" s="11" t="n">
        <v>27000000</v>
      </c>
      <c r="E157" s="12" t="n">
        <v>4.4255</v>
      </c>
      <c r="F157" s="10" t="n">
        <v>3</v>
      </c>
      <c r="G157" s="10" t="n">
        <v>0</v>
      </c>
    </row>
    <row r="158" customFormat="false" ht="15" hidden="false" customHeight="false" outlineLevel="0" collapsed="false">
      <c r="A158" s="3" t="s">
        <v>203</v>
      </c>
      <c r="B158" s="10" t="s">
        <v>40</v>
      </c>
      <c r="C158" s="10" t="s">
        <v>49</v>
      </c>
      <c r="D158" s="11" t="n">
        <v>38000000</v>
      </c>
      <c r="E158" s="12" t="n">
        <v>1.7767</v>
      </c>
      <c r="F158" s="10" t="n">
        <v>3</v>
      </c>
      <c r="G158" s="10" t="n">
        <v>1</v>
      </c>
    </row>
    <row r="159" customFormat="false" ht="15" hidden="false" customHeight="false" outlineLevel="0" collapsed="false">
      <c r="A159" s="3" t="s">
        <v>204</v>
      </c>
      <c r="B159" s="10" t="s">
        <v>52</v>
      </c>
      <c r="C159" s="10" t="s">
        <v>43</v>
      </c>
      <c r="D159" s="11" t="n">
        <v>11000000</v>
      </c>
      <c r="E159" s="12" t="n">
        <v>3.7351</v>
      </c>
      <c r="F159" s="10" t="n">
        <v>3</v>
      </c>
      <c r="G159" s="10" t="n">
        <v>0</v>
      </c>
    </row>
    <row r="160" customFormat="false" ht="15" hidden="false" customHeight="false" outlineLevel="0" collapsed="false">
      <c r="A160" s="3" t="s">
        <v>205</v>
      </c>
      <c r="B160" s="10" t="s">
        <v>32</v>
      </c>
      <c r="C160" s="10" t="s">
        <v>33</v>
      </c>
      <c r="D160" s="11" t="n">
        <v>40000000</v>
      </c>
      <c r="E160" s="12" t="n">
        <v>3.2072</v>
      </c>
      <c r="F160" s="10" t="n">
        <v>2</v>
      </c>
      <c r="G160" s="10" t="n">
        <v>0</v>
      </c>
    </row>
    <row r="161" customFormat="false" ht="15" hidden="false" customHeight="false" outlineLevel="0" collapsed="false">
      <c r="A161" s="3" t="s">
        <v>206</v>
      </c>
      <c r="B161" s="10" t="s">
        <v>52</v>
      </c>
      <c r="C161" s="10" t="s">
        <v>33</v>
      </c>
      <c r="D161" s="11" t="n">
        <v>10000000</v>
      </c>
      <c r="E161" s="12" t="n">
        <v>5.6354</v>
      </c>
      <c r="F161" s="10" t="n">
        <v>3</v>
      </c>
      <c r="G161" s="10" t="n">
        <v>5</v>
      </c>
    </row>
    <row r="162" customFormat="false" ht="15" hidden="false" customHeight="false" outlineLevel="0" collapsed="false">
      <c r="A162" s="3" t="s">
        <v>207</v>
      </c>
      <c r="B162" s="10" t="s">
        <v>35</v>
      </c>
      <c r="C162" s="10" t="s">
        <v>36</v>
      </c>
      <c r="D162" s="11" t="n">
        <v>43000000</v>
      </c>
      <c r="E162" s="12" t="n">
        <v>5.8317</v>
      </c>
      <c r="F162" s="10" t="n">
        <v>3</v>
      </c>
      <c r="G162" s="10" t="n">
        <v>0</v>
      </c>
    </row>
    <row r="163" customFormat="false" ht="15" hidden="false" customHeight="false" outlineLevel="0" collapsed="false">
      <c r="A163" s="3" t="s">
        <v>208</v>
      </c>
      <c r="B163" s="10" t="s">
        <v>32</v>
      </c>
      <c r="C163" s="10" t="s">
        <v>49</v>
      </c>
      <c r="D163" s="11" t="n">
        <v>15000000</v>
      </c>
      <c r="E163" s="12" t="n">
        <v>4.9566</v>
      </c>
      <c r="F163" s="10" t="n">
        <v>2</v>
      </c>
      <c r="G163" s="10" t="n">
        <v>1</v>
      </c>
    </row>
    <row r="164" customFormat="false" ht="15" hidden="false" customHeight="false" outlineLevel="0" collapsed="false">
      <c r="A164" s="3" t="s">
        <v>209</v>
      </c>
      <c r="B164" s="10" t="s">
        <v>32</v>
      </c>
      <c r="C164" s="10" t="s">
        <v>49</v>
      </c>
      <c r="D164" s="11" t="n">
        <v>3000000</v>
      </c>
      <c r="E164" s="12" t="n">
        <v>4.3368</v>
      </c>
      <c r="F164" s="10" t="n">
        <v>1</v>
      </c>
      <c r="G164" s="10" t="n">
        <v>0</v>
      </c>
    </row>
    <row r="165" customFormat="false" ht="15" hidden="false" customHeight="false" outlineLevel="0" collapsed="false">
      <c r="A165" s="3" t="s">
        <v>210</v>
      </c>
      <c r="B165" s="10" t="s">
        <v>52</v>
      </c>
      <c r="C165" s="10" t="s">
        <v>49</v>
      </c>
      <c r="D165" s="11" t="n">
        <v>16000000</v>
      </c>
      <c r="E165" s="12" t="n">
        <v>1.365</v>
      </c>
      <c r="F165" s="10" t="n">
        <v>1</v>
      </c>
      <c r="G165" s="10" t="n">
        <v>0</v>
      </c>
    </row>
    <row r="166" customFormat="false" ht="15" hidden="false" customHeight="false" outlineLevel="0" collapsed="false">
      <c r="A166" s="3" t="s">
        <v>211</v>
      </c>
      <c r="B166" s="10" t="s">
        <v>38</v>
      </c>
      <c r="C166" s="10" t="s">
        <v>60</v>
      </c>
      <c r="D166" s="11" t="n">
        <v>11000000</v>
      </c>
      <c r="E166" s="12" t="n">
        <v>5.0654</v>
      </c>
      <c r="F166" s="10" t="n">
        <v>3</v>
      </c>
      <c r="G166" s="10" t="n">
        <v>0</v>
      </c>
    </row>
    <row r="167" customFormat="false" ht="15" hidden="false" customHeight="false" outlineLevel="0" collapsed="false">
      <c r="A167" s="3" t="s">
        <v>212</v>
      </c>
      <c r="B167" s="10" t="s">
        <v>32</v>
      </c>
      <c r="C167" s="10" t="s">
        <v>60</v>
      </c>
      <c r="D167" s="11" t="n">
        <v>13000000</v>
      </c>
      <c r="E167" s="12" t="n">
        <v>5.822</v>
      </c>
      <c r="F167" s="10" t="n">
        <v>3</v>
      </c>
      <c r="G167" s="10" t="n">
        <v>1</v>
      </c>
    </row>
    <row r="168" customFormat="false" ht="15" hidden="false" customHeight="false" outlineLevel="0" collapsed="false">
      <c r="A168" s="3" t="s">
        <v>213</v>
      </c>
      <c r="B168" s="10" t="s">
        <v>47</v>
      </c>
      <c r="C168" s="10" t="s">
        <v>36</v>
      </c>
      <c r="D168" s="11" t="n">
        <v>42000000</v>
      </c>
      <c r="E168" s="12" t="n">
        <v>1.4597</v>
      </c>
      <c r="F168" s="10" t="n">
        <v>2</v>
      </c>
      <c r="G168" s="10" t="n">
        <v>0</v>
      </c>
    </row>
    <row r="169" customFormat="false" ht="15" hidden="false" customHeight="false" outlineLevel="0" collapsed="false">
      <c r="A169" s="3" t="s">
        <v>214</v>
      </c>
      <c r="B169" s="10" t="s">
        <v>45</v>
      </c>
      <c r="C169" s="10" t="s">
        <v>60</v>
      </c>
      <c r="D169" s="11" t="n">
        <v>7000000</v>
      </c>
      <c r="E169" s="12" t="n">
        <v>4.8001</v>
      </c>
      <c r="F169" s="10" t="n">
        <v>1</v>
      </c>
      <c r="G169" s="10" t="n">
        <v>3</v>
      </c>
    </row>
    <row r="170" customFormat="false" ht="15" hidden="false" customHeight="false" outlineLevel="0" collapsed="false">
      <c r="A170" s="3" t="s">
        <v>215</v>
      </c>
      <c r="B170" s="10" t="s">
        <v>47</v>
      </c>
      <c r="C170" s="10" t="s">
        <v>41</v>
      </c>
      <c r="D170" s="11" t="n">
        <v>17000000</v>
      </c>
      <c r="E170" s="12" t="n">
        <v>5.14</v>
      </c>
      <c r="F170" s="10" t="n">
        <v>3</v>
      </c>
      <c r="G170" s="10" t="n">
        <v>2</v>
      </c>
    </row>
    <row r="171" customFormat="false" ht="15" hidden="false" customHeight="false" outlineLevel="0" collapsed="false">
      <c r="A171" s="3" t="s">
        <v>216</v>
      </c>
      <c r="B171" s="10" t="s">
        <v>52</v>
      </c>
      <c r="C171" s="10" t="s">
        <v>49</v>
      </c>
      <c r="D171" s="11" t="n">
        <v>39000000</v>
      </c>
      <c r="E171" s="12" t="n">
        <v>6.4451</v>
      </c>
      <c r="F171" s="10" t="n">
        <v>1</v>
      </c>
      <c r="G171" s="10" t="n">
        <v>0</v>
      </c>
    </row>
    <row r="172" customFormat="false" ht="15" hidden="false" customHeight="false" outlineLevel="0" collapsed="false">
      <c r="A172" s="3" t="s">
        <v>217</v>
      </c>
      <c r="B172" s="10" t="s">
        <v>32</v>
      </c>
      <c r="C172" s="10" t="s">
        <v>49</v>
      </c>
      <c r="D172" s="11" t="n">
        <v>32000000</v>
      </c>
      <c r="E172" s="12" t="n">
        <v>3.3364</v>
      </c>
      <c r="F172" s="10" t="n">
        <v>1</v>
      </c>
      <c r="G172" s="10" t="n">
        <v>0</v>
      </c>
    </row>
    <row r="173" customFormat="false" ht="15" hidden="false" customHeight="false" outlineLevel="0" collapsed="false">
      <c r="A173" s="3" t="s">
        <v>218</v>
      </c>
      <c r="B173" s="10" t="s">
        <v>32</v>
      </c>
      <c r="C173" s="10" t="s">
        <v>49</v>
      </c>
      <c r="D173" s="11" t="n">
        <v>38000000</v>
      </c>
      <c r="E173" s="12" t="n">
        <v>6.1753</v>
      </c>
      <c r="F173" s="10" t="n">
        <v>1</v>
      </c>
      <c r="G173" s="10" t="n">
        <v>1</v>
      </c>
    </row>
    <row r="174" customFormat="false" ht="15" hidden="false" customHeight="false" outlineLevel="0" collapsed="false">
      <c r="A174" s="3" t="s">
        <v>219</v>
      </c>
      <c r="B174" s="10" t="s">
        <v>38</v>
      </c>
      <c r="C174" s="10" t="s">
        <v>33</v>
      </c>
      <c r="D174" s="11" t="n">
        <v>12000000</v>
      </c>
      <c r="E174" s="12" t="n">
        <v>6.6526</v>
      </c>
      <c r="F174" s="10" t="n">
        <v>1</v>
      </c>
      <c r="G174" s="10" t="n">
        <v>6</v>
      </c>
    </row>
    <row r="175" customFormat="false" ht="15" hidden="false" customHeight="false" outlineLevel="0" collapsed="false">
      <c r="A175" s="3" t="s">
        <v>220</v>
      </c>
      <c r="B175" s="10" t="s">
        <v>38</v>
      </c>
      <c r="C175" s="10" t="s">
        <v>33</v>
      </c>
      <c r="D175" s="11" t="n">
        <v>1000000</v>
      </c>
      <c r="E175" s="12" t="n">
        <v>1.3096</v>
      </c>
      <c r="F175" s="10" t="n">
        <v>1</v>
      </c>
      <c r="G175" s="10" t="n">
        <v>6</v>
      </c>
    </row>
    <row r="176" customFormat="false" ht="15" hidden="false" customHeight="false" outlineLevel="0" collapsed="false">
      <c r="A176" s="3" t="s">
        <v>221</v>
      </c>
      <c r="B176" s="10" t="s">
        <v>45</v>
      </c>
      <c r="C176" s="10" t="s">
        <v>41</v>
      </c>
      <c r="D176" s="11" t="n">
        <v>30000000</v>
      </c>
      <c r="E176" s="12" t="n">
        <v>4.0462</v>
      </c>
      <c r="F176" s="10" t="n">
        <v>2</v>
      </c>
      <c r="G176" s="10" t="n">
        <v>5</v>
      </c>
    </row>
    <row r="177" customFormat="false" ht="15" hidden="false" customHeight="false" outlineLevel="0" collapsed="false">
      <c r="A177" s="3" t="s">
        <v>222</v>
      </c>
      <c r="B177" s="10" t="s">
        <v>38</v>
      </c>
      <c r="C177" s="10" t="s">
        <v>53</v>
      </c>
      <c r="D177" s="11" t="n">
        <v>41000000</v>
      </c>
      <c r="E177" s="12" t="n">
        <v>5.6913</v>
      </c>
      <c r="F177" s="10" t="n">
        <v>1</v>
      </c>
      <c r="G177" s="10" t="n">
        <v>4</v>
      </c>
    </row>
    <row r="178" customFormat="false" ht="15" hidden="false" customHeight="false" outlineLevel="0" collapsed="false">
      <c r="A178" s="3" t="s">
        <v>223</v>
      </c>
      <c r="B178" s="10" t="s">
        <v>35</v>
      </c>
      <c r="C178" s="10" t="s">
        <v>53</v>
      </c>
      <c r="D178" s="11" t="n">
        <v>7000000</v>
      </c>
      <c r="E178" s="12" t="n">
        <v>4.2014</v>
      </c>
      <c r="F178" s="10" t="n">
        <v>3</v>
      </c>
      <c r="G178" s="10" t="n">
        <v>2</v>
      </c>
    </row>
    <row r="179" customFormat="false" ht="15" hidden="false" customHeight="false" outlineLevel="0" collapsed="false">
      <c r="A179" s="3" t="s">
        <v>224</v>
      </c>
      <c r="B179" s="10" t="s">
        <v>38</v>
      </c>
      <c r="C179" s="10" t="s">
        <v>60</v>
      </c>
      <c r="D179" s="11" t="n">
        <v>43000000</v>
      </c>
      <c r="E179" s="12" t="n">
        <v>5.8467</v>
      </c>
      <c r="F179" s="10" t="n">
        <v>3</v>
      </c>
      <c r="G179" s="10" t="n">
        <v>1</v>
      </c>
    </row>
    <row r="180" customFormat="false" ht="15" hidden="false" customHeight="false" outlineLevel="0" collapsed="false">
      <c r="A180" s="3" t="s">
        <v>225</v>
      </c>
      <c r="B180" s="10" t="s">
        <v>52</v>
      </c>
      <c r="C180" s="10" t="s">
        <v>43</v>
      </c>
      <c r="D180" s="11" t="n">
        <v>12000000</v>
      </c>
      <c r="E180" s="12" t="n">
        <v>5.0444</v>
      </c>
      <c r="F180" s="10" t="n">
        <v>1</v>
      </c>
      <c r="G180" s="10" t="n">
        <v>1</v>
      </c>
    </row>
    <row r="181" customFormat="false" ht="15" hidden="false" customHeight="false" outlineLevel="0" collapsed="false">
      <c r="A181" s="3" t="s">
        <v>226</v>
      </c>
      <c r="B181" s="10" t="s">
        <v>38</v>
      </c>
      <c r="C181" s="10" t="s">
        <v>60</v>
      </c>
      <c r="D181" s="11" t="n">
        <v>37000000</v>
      </c>
      <c r="E181" s="12" t="n">
        <v>5.9496</v>
      </c>
      <c r="F181" s="10" t="n">
        <v>2</v>
      </c>
      <c r="G181" s="10" t="n">
        <v>1</v>
      </c>
    </row>
    <row r="182" customFormat="false" ht="15" hidden="false" customHeight="false" outlineLevel="0" collapsed="false">
      <c r="A182" s="3" t="s">
        <v>227</v>
      </c>
      <c r="B182" s="10" t="s">
        <v>45</v>
      </c>
      <c r="C182" s="10" t="s">
        <v>49</v>
      </c>
      <c r="D182" s="11" t="n">
        <v>7000000</v>
      </c>
      <c r="E182" s="12" t="n">
        <v>5.6911</v>
      </c>
      <c r="F182" s="10" t="n">
        <v>3</v>
      </c>
      <c r="G182" s="10" t="n">
        <v>2</v>
      </c>
    </row>
    <row r="183" customFormat="false" ht="15" hidden="false" customHeight="false" outlineLevel="0" collapsed="false">
      <c r="A183" s="3" t="s">
        <v>228</v>
      </c>
      <c r="B183" s="10" t="s">
        <v>52</v>
      </c>
      <c r="C183" s="10" t="s">
        <v>53</v>
      </c>
      <c r="D183" s="11" t="n">
        <v>19000000</v>
      </c>
      <c r="E183" s="12" t="n">
        <v>1.638</v>
      </c>
      <c r="F183" s="10" t="n">
        <v>2</v>
      </c>
      <c r="G183" s="10" t="n">
        <v>0</v>
      </c>
    </row>
    <row r="184" customFormat="false" ht="15" hidden="false" customHeight="false" outlineLevel="0" collapsed="false">
      <c r="A184" s="3" t="s">
        <v>229</v>
      </c>
      <c r="B184" s="10" t="s">
        <v>45</v>
      </c>
      <c r="C184" s="10" t="s">
        <v>41</v>
      </c>
      <c r="D184" s="11" t="n">
        <v>2000000</v>
      </c>
      <c r="E184" s="12" t="n">
        <v>6.4498</v>
      </c>
      <c r="F184" s="10" t="n">
        <v>2</v>
      </c>
      <c r="G184" s="10" t="n">
        <v>0</v>
      </c>
    </row>
    <row r="185" customFormat="false" ht="15" hidden="false" customHeight="false" outlineLevel="0" collapsed="false">
      <c r="A185" s="3" t="s">
        <v>230</v>
      </c>
      <c r="B185" s="10" t="s">
        <v>52</v>
      </c>
      <c r="C185" s="10" t="s">
        <v>36</v>
      </c>
      <c r="D185" s="11" t="n">
        <v>5000000</v>
      </c>
      <c r="E185" s="12" t="n">
        <v>2.7008</v>
      </c>
      <c r="F185" s="10" t="n">
        <v>1</v>
      </c>
      <c r="G185" s="10" t="n">
        <v>0</v>
      </c>
    </row>
    <row r="186" customFormat="false" ht="15" hidden="false" customHeight="false" outlineLevel="0" collapsed="false">
      <c r="A186" s="3" t="s">
        <v>232</v>
      </c>
      <c r="B186" s="10" t="s">
        <v>52</v>
      </c>
      <c r="C186" s="10" t="s">
        <v>33</v>
      </c>
      <c r="D186" s="11" t="n">
        <v>12000000</v>
      </c>
      <c r="E186" s="12" t="n">
        <v>4.3532</v>
      </c>
      <c r="F186" s="10" t="n">
        <v>3</v>
      </c>
      <c r="G186" s="10" t="n">
        <v>0</v>
      </c>
    </row>
    <row r="187" customFormat="false" ht="15" hidden="false" customHeight="false" outlineLevel="0" collapsed="false">
      <c r="A187" s="3" t="s">
        <v>233</v>
      </c>
      <c r="B187" s="10" t="s">
        <v>32</v>
      </c>
      <c r="C187" s="10" t="s">
        <v>66</v>
      </c>
      <c r="D187" s="11" t="n">
        <v>38000000</v>
      </c>
      <c r="E187" s="12" t="n">
        <v>5.0439</v>
      </c>
      <c r="F187" s="10" t="n">
        <v>1</v>
      </c>
      <c r="G187" s="10" t="n">
        <v>1</v>
      </c>
    </row>
    <row r="188" customFormat="false" ht="15" hidden="false" customHeight="false" outlineLevel="0" collapsed="false">
      <c r="A188" s="3" t="s">
        <v>234</v>
      </c>
      <c r="B188" s="10" t="s">
        <v>35</v>
      </c>
      <c r="C188" s="10" t="s">
        <v>33</v>
      </c>
      <c r="D188" s="11" t="n">
        <v>20000000</v>
      </c>
      <c r="E188" s="12" t="n">
        <v>1.3893</v>
      </c>
      <c r="F188" s="10" t="n">
        <v>3</v>
      </c>
      <c r="G188" s="10" t="n">
        <v>6</v>
      </c>
    </row>
    <row r="189" customFormat="false" ht="15" hidden="false" customHeight="false" outlineLevel="0" collapsed="false">
      <c r="A189" s="3" t="s">
        <v>235</v>
      </c>
      <c r="B189" s="10" t="s">
        <v>40</v>
      </c>
      <c r="C189" s="10" t="s">
        <v>66</v>
      </c>
      <c r="D189" s="11" t="n">
        <v>25000000</v>
      </c>
      <c r="E189" s="12" t="n">
        <v>5.5314</v>
      </c>
      <c r="F189" s="10" t="n">
        <v>2</v>
      </c>
      <c r="G189" s="10" t="n">
        <v>2</v>
      </c>
    </row>
    <row r="190" customFormat="false" ht="15" hidden="false" customHeight="false" outlineLevel="0" collapsed="false">
      <c r="A190" s="3" t="s">
        <v>236</v>
      </c>
      <c r="B190" s="10" t="s">
        <v>35</v>
      </c>
      <c r="C190" s="10" t="s">
        <v>49</v>
      </c>
      <c r="D190" s="11" t="n">
        <v>21000000</v>
      </c>
      <c r="E190" s="12" t="n">
        <v>4.9515</v>
      </c>
      <c r="F190" s="10" t="n">
        <v>3</v>
      </c>
      <c r="G190" s="10" t="n">
        <v>0</v>
      </c>
    </row>
    <row r="191" customFormat="false" ht="15" hidden="false" customHeight="false" outlineLevel="0" collapsed="false">
      <c r="A191" s="3" t="s">
        <v>237</v>
      </c>
      <c r="B191" s="10" t="s">
        <v>45</v>
      </c>
      <c r="C191" s="10" t="s">
        <v>33</v>
      </c>
      <c r="D191" s="11" t="n">
        <v>18000000</v>
      </c>
      <c r="E191" s="12" t="n">
        <v>4.074</v>
      </c>
      <c r="F191" s="10" t="n">
        <v>3</v>
      </c>
      <c r="G191" s="10" t="n">
        <v>0</v>
      </c>
    </row>
    <row r="192" customFormat="false" ht="15" hidden="false" customHeight="false" outlineLevel="0" collapsed="false">
      <c r="A192" s="3" t="s">
        <v>238</v>
      </c>
      <c r="B192" s="10" t="s">
        <v>52</v>
      </c>
      <c r="C192" s="10" t="s">
        <v>41</v>
      </c>
      <c r="D192" s="11" t="n">
        <v>30000000</v>
      </c>
      <c r="E192" s="12" t="n">
        <v>4.4631</v>
      </c>
      <c r="F192" s="10" t="n">
        <v>1</v>
      </c>
      <c r="G192" s="10" t="n">
        <v>3</v>
      </c>
    </row>
    <row r="193" customFormat="false" ht="15" hidden="false" customHeight="false" outlineLevel="0" collapsed="false">
      <c r="A193" s="3" t="s">
        <v>239</v>
      </c>
      <c r="B193" s="10" t="s">
        <v>40</v>
      </c>
      <c r="C193" s="10" t="s">
        <v>49</v>
      </c>
      <c r="D193" s="11" t="n">
        <v>14000000</v>
      </c>
      <c r="E193" s="12" t="n">
        <v>5.4092</v>
      </c>
      <c r="F193" s="10" t="n">
        <v>1</v>
      </c>
      <c r="G193" s="10" t="n">
        <v>0</v>
      </c>
    </row>
    <row r="194" customFormat="false" ht="15" hidden="false" customHeight="false" outlineLevel="0" collapsed="false">
      <c r="A194" s="3" t="s">
        <v>240</v>
      </c>
      <c r="B194" s="10" t="s">
        <v>35</v>
      </c>
      <c r="C194" s="10" t="s">
        <v>36</v>
      </c>
      <c r="D194" s="11" t="n">
        <v>27000000</v>
      </c>
      <c r="E194" s="12" t="n">
        <v>5.183</v>
      </c>
      <c r="F194" s="10" t="n">
        <v>2</v>
      </c>
      <c r="G194" s="10" t="n">
        <v>5</v>
      </c>
    </row>
    <row r="195" customFormat="false" ht="15" hidden="false" customHeight="false" outlineLevel="0" collapsed="false">
      <c r="A195" s="3" t="s">
        <v>241</v>
      </c>
      <c r="B195" s="10" t="s">
        <v>52</v>
      </c>
      <c r="C195" s="10" t="s">
        <v>36</v>
      </c>
      <c r="D195" s="11" t="n">
        <v>21000000</v>
      </c>
      <c r="E195" s="12" t="n">
        <v>1.7735</v>
      </c>
      <c r="F195" s="10" t="n">
        <v>1</v>
      </c>
      <c r="G195" s="10" t="n">
        <v>2</v>
      </c>
    </row>
    <row r="196" customFormat="false" ht="15" hidden="false" customHeight="false" outlineLevel="0" collapsed="false">
      <c r="A196" s="3" t="s">
        <v>242</v>
      </c>
      <c r="B196" s="10" t="s">
        <v>38</v>
      </c>
      <c r="C196" s="10" t="s">
        <v>53</v>
      </c>
      <c r="D196" s="11" t="n">
        <v>27000000</v>
      </c>
      <c r="E196" s="12" t="n">
        <v>5.0112</v>
      </c>
      <c r="F196" s="10" t="n">
        <v>3</v>
      </c>
      <c r="G196" s="10" t="n">
        <v>2</v>
      </c>
    </row>
    <row r="197" customFormat="false" ht="15" hidden="false" customHeight="false" outlineLevel="0" collapsed="false">
      <c r="A197" s="3" t="s">
        <v>243</v>
      </c>
      <c r="B197" s="10" t="s">
        <v>40</v>
      </c>
      <c r="C197" s="10" t="s">
        <v>33</v>
      </c>
      <c r="D197" s="11" t="n">
        <v>11000000</v>
      </c>
      <c r="E197" s="12" t="n">
        <v>1.5018</v>
      </c>
      <c r="F197" s="10" t="n">
        <v>3</v>
      </c>
      <c r="G197" s="10" t="n">
        <v>0</v>
      </c>
    </row>
    <row r="198" customFormat="false" ht="15" hidden="false" customHeight="false" outlineLevel="0" collapsed="false">
      <c r="A198" s="3" t="s">
        <v>244</v>
      </c>
      <c r="B198" s="10" t="s">
        <v>38</v>
      </c>
      <c r="C198" s="10" t="s">
        <v>49</v>
      </c>
      <c r="D198" s="11" t="n">
        <v>49000000</v>
      </c>
      <c r="E198" s="12" t="n">
        <v>3.3558</v>
      </c>
      <c r="F198" s="10" t="n">
        <v>1</v>
      </c>
      <c r="G198" s="10" t="n">
        <v>4</v>
      </c>
    </row>
    <row r="199" customFormat="false" ht="15" hidden="false" customHeight="false" outlineLevel="0" collapsed="false">
      <c r="A199" s="3" t="s">
        <v>245</v>
      </c>
      <c r="B199" s="10" t="s">
        <v>35</v>
      </c>
      <c r="C199" s="10" t="s">
        <v>60</v>
      </c>
      <c r="D199" s="11" t="n">
        <v>37000000</v>
      </c>
      <c r="E199" s="12" t="n">
        <v>1.2159</v>
      </c>
      <c r="F199" s="10" t="n">
        <v>1</v>
      </c>
      <c r="G199" s="10" t="n">
        <v>0</v>
      </c>
    </row>
    <row r="200" customFormat="false" ht="15" hidden="false" customHeight="false" outlineLevel="0" collapsed="false">
      <c r="A200" s="3" t="s">
        <v>246</v>
      </c>
      <c r="B200" s="10" t="s">
        <v>32</v>
      </c>
      <c r="C200" s="10" t="s">
        <v>60</v>
      </c>
      <c r="D200" s="11" t="n">
        <v>48000000</v>
      </c>
      <c r="E200" s="12" t="n">
        <v>6.2719</v>
      </c>
      <c r="F200" s="10" t="n">
        <v>1</v>
      </c>
      <c r="G200" s="10" t="n">
        <v>1</v>
      </c>
    </row>
    <row r="201" customFormat="false" ht="15" hidden="false" customHeight="false" outlineLevel="0" collapsed="false">
      <c r="A201" s="3" t="s">
        <v>247</v>
      </c>
      <c r="B201" s="10" t="s">
        <v>52</v>
      </c>
      <c r="C201" s="10" t="s">
        <v>41</v>
      </c>
      <c r="D201" s="11" t="n">
        <v>30000000</v>
      </c>
      <c r="E201" s="12" t="n">
        <v>1.9252</v>
      </c>
      <c r="F201" s="10" t="n">
        <v>1</v>
      </c>
      <c r="G201" s="10" t="n">
        <v>0</v>
      </c>
    </row>
    <row r="202" customFormat="false" ht="15" hidden="false" customHeight="false" outlineLevel="0" collapsed="false">
      <c r="A202" s="3" t="s">
        <v>248</v>
      </c>
      <c r="B202" s="10" t="s">
        <v>40</v>
      </c>
      <c r="C202" s="10" t="s">
        <v>49</v>
      </c>
      <c r="D202" s="11" t="n">
        <v>45000000</v>
      </c>
      <c r="E202" s="12" t="n">
        <v>3.3333</v>
      </c>
      <c r="F202" s="10" t="n">
        <v>2</v>
      </c>
      <c r="G202" s="10" t="n">
        <v>7</v>
      </c>
    </row>
    <row r="203" customFormat="false" ht="15" hidden="false" customHeight="false" outlineLevel="0" collapsed="false">
      <c r="A203" s="3" t="s">
        <v>249</v>
      </c>
      <c r="B203" s="10" t="s">
        <v>35</v>
      </c>
      <c r="C203" s="10" t="s">
        <v>33</v>
      </c>
      <c r="D203" s="11" t="n">
        <v>31000000</v>
      </c>
      <c r="E203" s="12" t="n">
        <v>1.7989</v>
      </c>
      <c r="F203" s="10" t="n">
        <v>2</v>
      </c>
      <c r="G203" s="10" t="n">
        <v>0</v>
      </c>
    </row>
    <row r="204" customFormat="false" ht="15" hidden="false" customHeight="false" outlineLevel="0" collapsed="false">
      <c r="A204" s="3" t="s">
        <v>250</v>
      </c>
      <c r="B204" s="10" t="s">
        <v>45</v>
      </c>
      <c r="C204" s="10" t="s">
        <v>53</v>
      </c>
      <c r="D204" s="11" t="n">
        <v>20000000</v>
      </c>
      <c r="E204" s="12" t="n">
        <v>4.9479</v>
      </c>
      <c r="F204" s="10" t="n">
        <v>3</v>
      </c>
      <c r="G204" s="10" t="n">
        <v>0</v>
      </c>
    </row>
    <row r="205" customFormat="false" ht="15" hidden="false" customHeight="false" outlineLevel="0" collapsed="false">
      <c r="A205" s="3" t="s">
        <v>251</v>
      </c>
      <c r="B205" s="10" t="s">
        <v>47</v>
      </c>
      <c r="C205" s="10" t="s">
        <v>36</v>
      </c>
      <c r="D205" s="11" t="n">
        <v>14000000</v>
      </c>
      <c r="E205" s="12" t="n">
        <v>2.4541</v>
      </c>
      <c r="F205" s="10" t="n">
        <v>3</v>
      </c>
      <c r="G205" s="10" t="n">
        <v>0</v>
      </c>
    </row>
    <row r="206" customFormat="false" ht="15" hidden="false" customHeight="false" outlineLevel="0" collapsed="false">
      <c r="A206" s="3" t="s">
        <v>252</v>
      </c>
      <c r="B206" s="10" t="s">
        <v>40</v>
      </c>
      <c r="C206" s="10" t="s">
        <v>36</v>
      </c>
      <c r="D206" s="11" t="n">
        <v>42000000</v>
      </c>
      <c r="E206" s="12" t="n">
        <v>1.9349</v>
      </c>
      <c r="F206" s="10" t="n">
        <v>3</v>
      </c>
      <c r="G206" s="10" t="n">
        <v>0</v>
      </c>
    </row>
    <row r="207" customFormat="false" ht="15" hidden="false" customHeight="false" outlineLevel="0" collapsed="false">
      <c r="A207" s="3" t="s">
        <v>253</v>
      </c>
      <c r="B207" s="10" t="s">
        <v>47</v>
      </c>
      <c r="C207" s="10" t="s">
        <v>43</v>
      </c>
      <c r="D207" s="11" t="n">
        <v>34000000</v>
      </c>
      <c r="E207" s="12" t="n">
        <v>3.2035</v>
      </c>
      <c r="F207" s="10" t="n">
        <v>3</v>
      </c>
      <c r="G207" s="10" t="n">
        <v>0</v>
      </c>
    </row>
    <row r="208" customFormat="false" ht="15" hidden="false" customHeight="false" outlineLevel="0" collapsed="false">
      <c r="A208" s="3" t="s">
        <v>254</v>
      </c>
      <c r="B208" s="10" t="s">
        <v>32</v>
      </c>
      <c r="C208" s="10" t="s">
        <v>49</v>
      </c>
      <c r="D208" s="11" t="n">
        <v>9000000</v>
      </c>
      <c r="E208" s="12" t="n">
        <v>4.4927</v>
      </c>
      <c r="F208" s="10" t="n">
        <v>3</v>
      </c>
      <c r="G208" s="10" t="n">
        <v>3</v>
      </c>
    </row>
    <row r="209" customFormat="false" ht="15" hidden="false" customHeight="false" outlineLevel="0" collapsed="false">
      <c r="A209" s="3" t="s">
        <v>255</v>
      </c>
      <c r="B209" s="10" t="s">
        <v>40</v>
      </c>
      <c r="C209" s="10" t="s">
        <v>41</v>
      </c>
      <c r="D209" s="11" t="n">
        <v>23000000</v>
      </c>
      <c r="E209" s="12" t="n">
        <v>2.9643</v>
      </c>
      <c r="F209" s="10" t="n">
        <v>3</v>
      </c>
      <c r="G209" s="10" t="n">
        <v>5</v>
      </c>
    </row>
    <row r="210" customFormat="false" ht="15" hidden="false" customHeight="false" outlineLevel="0" collapsed="false">
      <c r="A210" s="3" t="s">
        <v>256</v>
      </c>
      <c r="B210" s="10" t="s">
        <v>52</v>
      </c>
      <c r="C210" s="10" t="s">
        <v>33</v>
      </c>
      <c r="D210" s="11" t="n">
        <v>19000000</v>
      </c>
      <c r="E210" s="12" t="n">
        <v>6.9332</v>
      </c>
      <c r="F210" s="10" t="n">
        <v>2</v>
      </c>
      <c r="G210" s="10" t="n">
        <v>4</v>
      </c>
    </row>
    <row r="211" customFormat="false" ht="15" hidden="false" customHeight="false" outlineLevel="0" collapsed="false">
      <c r="A211" s="3" t="s">
        <v>257</v>
      </c>
      <c r="B211" s="10" t="s">
        <v>32</v>
      </c>
      <c r="C211" s="10" t="s">
        <v>33</v>
      </c>
      <c r="D211" s="11" t="n">
        <v>27000000</v>
      </c>
      <c r="E211" s="12" t="n">
        <v>6.9083</v>
      </c>
      <c r="F211" s="10" t="n">
        <v>3</v>
      </c>
      <c r="G211" s="10" t="n">
        <v>0</v>
      </c>
    </row>
    <row r="212" customFormat="false" ht="15" hidden="false" customHeight="false" outlineLevel="0" collapsed="false">
      <c r="A212" s="3" t="s">
        <v>258</v>
      </c>
      <c r="B212" s="10" t="s">
        <v>38</v>
      </c>
      <c r="C212" s="10" t="s">
        <v>43</v>
      </c>
      <c r="D212" s="11" t="n">
        <v>9000000</v>
      </c>
      <c r="E212" s="12" t="n">
        <v>1.5063</v>
      </c>
      <c r="F212" s="10" t="n">
        <v>1</v>
      </c>
      <c r="G212" s="10" t="n">
        <v>8</v>
      </c>
    </row>
    <row r="213" customFormat="false" ht="15" hidden="false" customHeight="false" outlineLevel="0" collapsed="false">
      <c r="A213" s="3" t="s">
        <v>259</v>
      </c>
      <c r="B213" s="10" t="s">
        <v>40</v>
      </c>
      <c r="C213" s="10" t="s">
        <v>49</v>
      </c>
      <c r="D213" s="11" t="n">
        <v>44000000</v>
      </c>
      <c r="E213" s="12" t="n">
        <v>5.4315</v>
      </c>
      <c r="F213" s="10" t="n">
        <v>1</v>
      </c>
      <c r="G213" s="10" t="n">
        <v>4</v>
      </c>
    </row>
    <row r="214" customFormat="false" ht="15" hidden="false" customHeight="false" outlineLevel="0" collapsed="false">
      <c r="A214" s="3" t="s">
        <v>260</v>
      </c>
      <c r="B214" s="10" t="s">
        <v>35</v>
      </c>
      <c r="C214" s="10" t="s">
        <v>60</v>
      </c>
      <c r="D214" s="11" t="n">
        <v>30000000</v>
      </c>
      <c r="E214" s="12" t="n">
        <v>5.8806</v>
      </c>
      <c r="F214" s="10" t="n">
        <v>1</v>
      </c>
      <c r="G214" s="10" t="n">
        <v>1</v>
      </c>
    </row>
    <row r="215" customFormat="false" ht="15" hidden="false" customHeight="false" outlineLevel="0" collapsed="false">
      <c r="A215" s="3" t="s">
        <v>261</v>
      </c>
      <c r="B215" s="10" t="s">
        <v>35</v>
      </c>
      <c r="C215" s="10" t="s">
        <v>43</v>
      </c>
      <c r="D215" s="11" t="n">
        <v>5000000</v>
      </c>
      <c r="E215" s="12" t="n">
        <v>5.0609</v>
      </c>
      <c r="F215" s="10" t="n">
        <v>3</v>
      </c>
      <c r="G215" s="10" t="n">
        <v>2</v>
      </c>
    </row>
    <row r="216" customFormat="false" ht="15" hidden="false" customHeight="false" outlineLevel="0" collapsed="false">
      <c r="A216" s="3" t="s">
        <v>262</v>
      </c>
      <c r="B216" s="10" t="s">
        <v>52</v>
      </c>
      <c r="C216" s="10" t="s">
        <v>49</v>
      </c>
      <c r="D216" s="11" t="n">
        <v>15000000</v>
      </c>
      <c r="E216" s="12" t="n">
        <v>2.9695</v>
      </c>
      <c r="F216" s="10" t="n">
        <v>1</v>
      </c>
      <c r="G216" s="10" t="n">
        <v>0</v>
      </c>
    </row>
    <row r="217" customFormat="false" ht="15" hidden="false" customHeight="false" outlineLevel="0" collapsed="false">
      <c r="A217" s="3" t="s">
        <v>263</v>
      </c>
      <c r="B217" s="10" t="s">
        <v>38</v>
      </c>
      <c r="C217" s="10" t="s">
        <v>33</v>
      </c>
      <c r="D217" s="11" t="n">
        <v>21000000</v>
      </c>
      <c r="E217" s="12" t="n">
        <v>2.9483</v>
      </c>
      <c r="F217" s="10" t="n">
        <v>1</v>
      </c>
      <c r="G217" s="10" t="n">
        <v>4</v>
      </c>
    </row>
    <row r="218" customFormat="false" ht="15" hidden="false" customHeight="false" outlineLevel="0" collapsed="false">
      <c r="A218" s="3" t="s">
        <v>264</v>
      </c>
      <c r="B218" s="10" t="s">
        <v>40</v>
      </c>
      <c r="C218" s="10" t="s">
        <v>53</v>
      </c>
      <c r="D218" s="11" t="n">
        <v>28000000</v>
      </c>
      <c r="E218" s="12" t="n">
        <v>6.6578</v>
      </c>
      <c r="F218" s="10" t="n">
        <v>1</v>
      </c>
      <c r="G218" s="10" t="n">
        <v>3</v>
      </c>
    </row>
    <row r="219" customFormat="false" ht="15" hidden="false" customHeight="false" outlineLevel="0" collapsed="false">
      <c r="A219" s="3" t="s">
        <v>265</v>
      </c>
      <c r="B219" s="10" t="s">
        <v>32</v>
      </c>
      <c r="C219" s="10" t="s">
        <v>43</v>
      </c>
      <c r="D219" s="11" t="n">
        <v>49000000</v>
      </c>
      <c r="E219" s="12" t="n">
        <v>2.6351</v>
      </c>
      <c r="F219" s="10" t="n">
        <v>1</v>
      </c>
      <c r="G219" s="10" t="n">
        <v>1</v>
      </c>
    </row>
    <row r="220" customFormat="false" ht="15" hidden="false" customHeight="false" outlineLevel="0" collapsed="false">
      <c r="A220" s="3" t="s">
        <v>266</v>
      </c>
      <c r="B220" s="10" t="s">
        <v>32</v>
      </c>
      <c r="C220" s="10" t="s">
        <v>43</v>
      </c>
      <c r="D220" s="11" t="n">
        <v>39000000</v>
      </c>
      <c r="E220" s="12" t="n">
        <v>2.0373</v>
      </c>
      <c r="F220" s="10" t="n">
        <v>1</v>
      </c>
      <c r="G220" s="10" t="n">
        <v>5</v>
      </c>
    </row>
    <row r="221" customFormat="false" ht="15" hidden="false" customHeight="false" outlineLevel="0" collapsed="false">
      <c r="A221" s="3" t="s">
        <v>267</v>
      </c>
      <c r="B221" s="10" t="s">
        <v>35</v>
      </c>
      <c r="C221" s="10" t="s">
        <v>43</v>
      </c>
      <c r="D221" s="11" t="n">
        <v>15000000</v>
      </c>
      <c r="E221" s="12" t="n">
        <v>1.1438</v>
      </c>
      <c r="F221" s="10" t="n">
        <v>1</v>
      </c>
      <c r="G221" s="10" t="n">
        <v>2</v>
      </c>
    </row>
    <row r="222" customFormat="false" ht="15" hidden="false" customHeight="false" outlineLevel="0" collapsed="false">
      <c r="A222" s="3" t="s">
        <v>268</v>
      </c>
      <c r="B222" s="10" t="s">
        <v>52</v>
      </c>
      <c r="C222" s="10" t="s">
        <v>53</v>
      </c>
      <c r="D222" s="11" t="n">
        <v>31000000</v>
      </c>
      <c r="E222" s="12" t="n">
        <v>2.058</v>
      </c>
      <c r="F222" s="10" t="n">
        <v>2</v>
      </c>
      <c r="G222" s="10" t="n">
        <v>1</v>
      </c>
    </row>
    <row r="223" customFormat="false" ht="15" hidden="false" customHeight="false" outlineLevel="0" collapsed="false">
      <c r="A223" s="3" t="s">
        <v>269</v>
      </c>
      <c r="B223" s="10" t="s">
        <v>45</v>
      </c>
      <c r="C223" s="10" t="s">
        <v>41</v>
      </c>
      <c r="D223" s="11" t="n">
        <v>7000000</v>
      </c>
      <c r="E223" s="12" t="n">
        <v>3.5959</v>
      </c>
      <c r="F223" s="10" t="n">
        <v>3</v>
      </c>
      <c r="G223" s="10" t="n">
        <v>1</v>
      </c>
    </row>
    <row r="224" customFormat="false" ht="15" hidden="false" customHeight="false" outlineLevel="0" collapsed="false">
      <c r="A224" s="3" t="s">
        <v>270</v>
      </c>
      <c r="B224" s="10" t="s">
        <v>38</v>
      </c>
      <c r="C224" s="10" t="s">
        <v>49</v>
      </c>
      <c r="D224" s="11" t="n">
        <v>26000000</v>
      </c>
      <c r="E224" s="12" t="n">
        <v>4.026</v>
      </c>
      <c r="F224" s="10" t="n">
        <v>1</v>
      </c>
      <c r="G224" s="10" t="n">
        <v>0</v>
      </c>
    </row>
    <row r="225" customFormat="false" ht="15" hidden="false" customHeight="false" outlineLevel="0" collapsed="false">
      <c r="A225" s="3" t="s">
        <v>271</v>
      </c>
      <c r="B225" s="10" t="s">
        <v>47</v>
      </c>
      <c r="C225" s="10" t="s">
        <v>36</v>
      </c>
      <c r="D225" s="11" t="n">
        <v>42000000</v>
      </c>
      <c r="E225" s="12" t="n">
        <v>1.6498</v>
      </c>
      <c r="F225" s="10" t="n">
        <v>2</v>
      </c>
      <c r="G225" s="10" t="n">
        <v>6</v>
      </c>
    </row>
    <row r="226" customFormat="false" ht="15" hidden="false" customHeight="false" outlineLevel="0" collapsed="false">
      <c r="A226" s="3" t="s">
        <v>272</v>
      </c>
      <c r="B226" s="10" t="s">
        <v>32</v>
      </c>
      <c r="C226" s="10" t="s">
        <v>33</v>
      </c>
      <c r="D226" s="11" t="n">
        <v>6000000</v>
      </c>
      <c r="E226" s="12" t="n">
        <v>3.3471</v>
      </c>
      <c r="F226" s="10" t="n">
        <v>1</v>
      </c>
      <c r="G226" s="10" t="n">
        <v>5</v>
      </c>
    </row>
    <row r="227" customFormat="false" ht="15" hidden="false" customHeight="false" outlineLevel="0" collapsed="false">
      <c r="A227" s="3" t="s">
        <v>273</v>
      </c>
      <c r="B227" s="10" t="s">
        <v>32</v>
      </c>
      <c r="C227" s="10" t="s">
        <v>60</v>
      </c>
      <c r="D227" s="11" t="n">
        <v>40000000</v>
      </c>
      <c r="E227" s="12" t="n">
        <v>4.9098</v>
      </c>
      <c r="F227" s="10" t="n">
        <v>2</v>
      </c>
      <c r="G227" s="10" t="n">
        <v>1</v>
      </c>
    </row>
    <row r="228" customFormat="false" ht="15" hidden="false" customHeight="false" outlineLevel="0" collapsed="false">
      <c r="A228" s="3" t="s">
        <v>274</v>
      </c>
      <c r="B228" s="10" t="s">
        <v>38</v>
      </c>
      <c r="C228" s="10" t="s">
        <v>60</v>
      </c>
      <c r="D228" s="11" t="n">
        <v>2000000</v>
      </c>
      <c r="E228" s="12" t="n">
        <v>5.8108</v>
      </c>
      <c r="F228" s="10" t="n">
        <v>1</v>
      </c>
      <c r="G228" s="10" t="n">
        <v>3</v>
      </c>
    </row>
    <row r="229" customFormat="false" ht="15" hidden="false" customHeight="false" outlineLevel="0" collapsed="false">
      <c r="A229" s="3" t="s">
        <v>275</v>
      </c>
      <c r="B229" s="10" t="s">
        <v>45</v>
      </c>
      <c r="C229" s="10" t="s">
        <v>36</v>
      </c>
      <c r="D229" s="11" t="n">
        <v>1000000</v>
      </c>
      <c r="E229" s="12" t="n">
        <v>3.0772</v>
      </c>
      <c r="F229" s="10" t="n">
        <v>3</v>
      </c>
      <c r="G229" s="10" t="n">
        <v>0</v>
      </c>
    </row>
    <row r="230" customFormat="false" ht="15" hidden="false" customHeight="false" outlineLevel="0" collapsed="false">
      <c r="A230" s="3" t="s">
        <v>276</v>
      </c>
      <c r="B230" s="10" t="s">
        <v>38</v>
      </c>
      <c r="C230" s="10" t="s">
        <v>36</v>
      </c>
      <c r="D230" s="11" t="n">
        <v>17000000</v>
      </c>
      <c r="E230" s="12" t="n">
        <v>4.079</v>
      </c>
      <c r="F230" s="10" t="n">
        <v>2</v>
      </c>
      <c r="G230" s="10" t="n">
        <v>3</v>
      </c>
    </row>
    <row r="231" customFormat="false" ht="15" hidden="false" customHeight="false" outlineLevel="0" collapsed="false">
      <c r="A231" s="3" t="s">
        <v>277</v>
      </c>
      <c r="B231" s="10" t="s">
        <v>32</v>
      </c>
      <c r="C231" s="10" t="s">
        <v>49</v>
      </c>
      <c r="D231" s="11" t="n">
        <v>16000000</v>
      </c>
      <c r="E231" s="12" t="n">
        <v>6.6584</v>
      </c>
      <c r="F231" s="10" t="n">
        <v>1</v>
      </c>
      <c r="G231" s="10" t="n">
        <v>2</v>
      </c>
    </row>
    <row r="232" customFormat="false" ht="15" hidden="false" customHeight="false" outlineLevel="0" collapsed="false">
      <c r="A232" s="3" t="s">
        <v>278</v>
      </c>
      <c r="B232" s="10" t="s">
        <v>40</v>
      </c>
      <c r="C232" s="10" t="s">
        <v>66</v>
      </c>
      <c r="D232" s="11" t="n">
        <v>36000000</v>
      </c>
      <c r="E232" s="12" t="n">
        <v>4.9571</v>
      </c>
      <c r="F232" s="10" t="n">
        <v>2</v>
      </c>
      <c r="G232" s="10" t="n">
        <v>2</v>
      </c>
    </row>
    <row r="233" customFormat="false" ht="15" hidden="false" customHeight="false" outlineLevel="0" collapsed="false">
      <c r="A233" s="3" t="s">
        <v>279</v>
      </c>
      <c r="B233" s="10" t="s">
        <v>38</v>
      </c>
      <c r="C233" s="10" t="s">
        <v>49</v>
      </c>
      <c r="D233" s="11" t="n">
        <v>6000000</v>
      </c>
      <c r="E233" s="12" t="n">
        <v>5.1489</v>
      </c>
      <c r="F233" s="10" t="n">
        <v>2</v>
      </c>
      <c r="G233" s="10" t="n">
        <v>3</v>
      </c>
    </row>
    <row r="234" customFormat="false" ht="15" hidden="false" customHeight="false" outlineLevel="0" collapsed="false">
      <c r="A234" s="3" t="s">
        <v>280</v>
      </c>
      <c r="B234" s="10" t="s">
        <v>52</v>
      </c>
      <c r="C234" s="10" t="s">
        <v>33</v>
      </c>
      <c r="D234" s="11" t="n">
        <v>34000000</v>
      </c>
      <c r="E234" s="12" t="n">
        <v>1.1361</v>
      </c>
      <c r="F234" s="10" t="n">
        <v>3</v>
      </c>
      <c r="G234" s="10" t="n">
        <v>0</v>
      </c>
    </row>
    <row r="235" customFormat="false" ht="15" hidden="false" customHeight="false" outlineLevel="0" collapsed="false">
      <c r="A235" s="3" t="s">
        <v>281</v>
      </c>
      <c r="B235" s="10" t="s">
        <v>47</v>
      </c>
      <c r="C235" s="10" t="s">
        <v>33</v>
      </c>
      <c r="D235" s="11" t="n">
        <v>8000000</v>
      </c>
      <c r="E235" s="12" t="n">
        <v>6.6507</v>
      </c>
      <c r="F235" s="10" t="n">
        <v>1</v>
      </c>
      <c r="G235" s="10" t="n">
        <v>1</v>
      </c>
    </row>
    <row r="236" customFormat="false" ht="15" hidden="false" customHeight="false" outlineLevel="0" collapsed="false">
      <c r="A236" s="3" t="s">
        <v>282</v>
      </c>
      <c r="B236" s="10" t="s">
        <v>38</v>
      </c>
      <c r="C236" s="10" t="s">
        <v>33</v>
      </c>
      <c r="D236" s="11" t="n">
        <v>34000000</v>
      </c>
      <c r="E236" s="12" t="n">
        <v>3.683</v>
      </c>
      <c r="F236" s="10" t="n">
        <v>3</v>
      </c>
      <c r="G236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24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36"/>
  </cols>
  <sheetData>
    <row r="1" customFormat="false" ht="23.85" hidden="false" customHeight="false" outlineLevel="0" collapsed="false">
      <c r="A1" s="9" t="s">
        <v>26</v>
      </c>
      <c r="B1" s="9" t="s">
        <v>286</v>
      </c>
      <c r="C1" s="9" t="s">
        <v>287</v>
      </c>
      <c r="D1" s="9" t="s">
        <v>288</v>
      </c>
      <c r="E1" s="9" t="s">
        <v>289</v>
      </c>
      <c r="F1" s="9" t="s">
        <v>290</v>
      </c>
      <c r="G1" s="9" t="s">
        <v>291</v>
      </c>
      <c r="H1" s="9" t="s">
        <v>292</v>
      </c>
      <c r="I1" s="9" t="s">
        <v>293</v>
      </c>
      <c r="J1" s="9" t="s">
        <v>294</v>
      </c>
      <c r="K1" s="9" t="s">
        <v>295</v>
      </c>
      <c r="L1" s="9" t="s">
        <v>296</v>
      </c>
      <c r="M1" s="9" t="s">
        <v>30</v>
      </c>
      <c r="N1" s="9" t="s">
        <v>297</v>
      </c>
      <c r="O1" s="9" t="s">
        <v>5</v>
      </c>
    </row>
    <row r="2" customFormat="false" ht="15" hidden="false" customHeight="false" outlineLevel="0" collapsed="false">
      <c r="A2" s="3" t="s">
        <v>31</v>
      </c>
      <c r="B2" s="13" t="b">
        <f aca="false">ISNUMBER(MATCH(A2,Booking!$A:$A,0))</f>
        <v>1</v>
      </c>
      <c r="C2" s="13" t="b">
        <f aca="false">ISNUMBER(MATCH(A2,Confirmations!$A:$A,0))</f>
        <v>1</v>
      </c>
      <c r="D2" s="3" t="str">
        <f aca="false">IFERROR(INDEX(Booking!$C:$C,MATCH($A2,Booking!$A:$A,0)),"")</f>
        <v>Tarn Energy Trading</v>
      </c>
      <c r="E2" s="3" t="str">
        <f aca="false">IFERROR(INDEX(Confirmations!$C:$C,MATCH($A2,Confirmations!$A:$A,0)),"")</f>
        <v>Tarn Energy Trading</v>
      </c>
      <c r="F2" s="14" t="n">
        <f aca="false">IFERROR(INDEX(Booking!$D:$D,MATCH($A2,Booking!$A:$A,0)),"")</f>
        <v>28000000</v>
      </c>
      <c r="G2" s="14" t="n">
        <f aca="false">IFERROR(INDEX(Confirmations!$D:$D,MATCH($A2,Confirmations!$A:$A,0)),"")</f>
        <v>28000000</v>
      </c>
      <c r="H2" s="15" t="n">
        <f aca="false">IFERROR(INDEX(Booking!$E:$E,MATCH($A2,Booking!$A:$A,0)),"")</f>
        <v>5.1415</v>
      </c>
      <c r="I2" s="15" t="n">
        <f aca="false">IFERROR(INDEX(Confirmations!$E:$E,MATCH($A2,Confirmations!$A:$A,0)),"")</f>
        <v>5.1415</v>
      </c>
      <c r="J2" s="3" t="n">
        <f aca="false">IFERROR(INDEX(Booking!$F:$F,MATCH($A2,Booking!$A:$A,0)),"")</f>
        <v>1</v>
      </c>
      <c r="K2" s="3" t="n">
        <f aca="false">IFERROR(INDEX(Confirmations!$F:$F,MATCH($A2,Confirmations!$A:$A,0)),"")</f>
        <v>1</v>
      </c>
      <c r="L2" s="3" t="str">
        <f aca="false">IF(NOT(C2),"Unconfirmed",IF(NOT(B2),"Unbooked",IF(D2&lt;&gt;E2,"Counterparty",IF(ABS(F2-G2)&gt;F2*Rules!$B$4/10000,"Notional",IF(H2&lt;&gt;I2,"Rate or price",IF(J2&lt;&gt;K2,"Value date","Matched"))))))</f>
        <v>Matched</v>
      </c>
      <c r="M2" s="3" t="n">
        <f aca="false">IF(B2,INDEX(Booking!$G:$G,MATCH(A2,Booking!$A:$A,0)),INDEX(Confirmations!$G:$G,MATCH(A2,Confirmations!$A:$A,0)))</f>
        <v>0</v>
      </c>
      <c r="N2" s="13" t="b">
        <f aca="false">AND(L2&lt;&gt;"Matched",M2&gt;Rules!$B$5)</f>
        <v>0</v>
      </c>
      <c r="O2" s="3" t="str">
        <f aca="false">INDEX(Rules!$B$8:$B$14,MATCH(L2,Rules!$A$8:$A$14,0))</f>
        <v>None</v>
      </c>
    </row>
    <row r="3" customFormat="false" ht="15" hidden="false" customHeight="false" outlineLevel="0" collapsed="false">
      <c r="A3" s="3" t="s">
        <v>34</v>
      </c>
      <c r="B3" s="13" t="b">
        <f aca="false">ISNUMBER(MATCH(A3,Booking!$A:$A,0))</f>
        <v>1</v>
      </c>
      <c r="C3" s="13" t="b">
        <f aca="false">ISNUMBER(MATCH(A3,Confirmations!$A:$A,0))</f>
        <v>1</v>
      </c>
      <c r="D3" s="3" t="str">
        <f aca="false">IFERROR(INDEX(Booking!$C:$C,MATCH($A3,Booking!$A:$A,0)),"")</f>
        <v>Meridian Bank</v>
      </c>
      <c r="E3" s="3" t="str">
        <f aca="false">IFERROR(INDEX(Confirmations!$C:$C,MATCH($A3,Confirmations!$A:$A,0)),"")</f>
        <v>Meridian Bank</v>
      </c>
      <c r="F3" s="14" t="n">
        <f aca="false">IFERROR(INDEX(Booking!$D:$D,MATCH($A3,Booking!$A:$A,0)),"")</f>
        <v>19000000</v>
      </c>
      <c r="G3" s="14" t="n">
        <f aca="false">IFERROR(INDEX(Confirmations!$D:$D,MATCH($A3,Confirmations!$A:$A,0)),"")</f>
        <v>19000000</v>
      </c>
      <c r="H3" s="15" t="n">
        <f aca="false">IFERROR(INDEX(Booking!$E:$E,MATCH($A3,Booking!$A:$A,0)),"")</f>
        <v>1.3863</v>
      </c>
      <c r="I3" s="15" t="n">
        <f aca="false">IFERROR(INDEX(Confirmations!$E:$E,MATCH($A3,Confirmations!$A:$A,0)),"")</f>
        <v>1.3863</v>
      </c>
      <c r="J3" s="3" t="n">
        <f aca="false">IFERROR(INDEX(Booking!$F:$F,MATCH($A3,Booking!$A:$A,0)),"")</f>
        <v>2</v>
      </c>
      <c r="K3" s="3" t="n">
        <f aca="false">IFERROR(INDEX(Confirmations!$F:$F,MATCH($A3,Confirmations!$A:$A,0)),"")</f>
        <v>2</v>
      </c>
      <c r="L3" s="3" t="str">
        <f aca="false">IF(NOT(C3),"Unconfirmed",IF(NOT(B3),"Unbooked",IF(D3&lt;&gt;E3,"Counterparty",IF(ABS(F3-G3)&gt;F3*Rules!$B$4/10000,"Notional",IF(H3&lt;&gt;I3,"Rate or price",IF(J3&lt;&gt;K3,"Value date","Matched"))))))</f>
        <v>Matched</v>
      </c>
      <c r="M3" s="3" t="n">
        <f aca="false">IF(B3,INDEX(Booking!$G:$G,MATCH(A3,Booking!$A:$A,0)),INDEX(Confirmations!$G:$G,MATCH(A3,Confirmations!$A:$A,0)))</f>
        <v>1</v>
      </c>
      <c r="N3" s="13" t="b">
        <f aca="false">AND(L3&lt;&gt;"Matched",M3&gt;Rules!$B$5)</f>
        <v>0</v>
      </c>
      <c r="O3" s="3" t="str">
        <f aca="false">INDEX(Rules!$B$8:$B$14,MATCH(L3,Rules!$A$8:$A$14,0))</f>
        <v>None</v>
      </c>
    </row>
    <row r="4" customFormat="false" ht="15" hidden="false" customHeight="false" outlineLevel="0" collapsed="false">
      <c r="A4" s="3" t="s">
        <v>37</v>
      </c>
      <c r="B4" s="13" t="b">
        <f aca="false">ISNUMBER(MATCH(A4,Booking!$A:$A,0))</f>
        <v>1</v>
      </c>
      <c r="C4" s="13" t="b">
        <f aca="false">ISNUMBER(MATCH(A4,Confirmations!$A:$A,0))</f>
        <v>1</v>
      </c>
      <c r="D4" s="3" t="str">
        <f aca="false">IFERROR(INDEX(Booking!$C:$C,MATCH($A4,Booking!$A:$A,0)),"")</f>
        <v>Tarn Energy Trading</v>
      </c>
      <c r="E4" s="3" t="str">
        <f aca="false">IFERROR(INDEX(Confirmations!$C:$C,MATCH($A4,Confirmations!$A:$A,0)),"")</f>
        <v>Tarn Energy Trading</v>
      </c>
      <c r="F4" s="14" t="n">
        <f aca="false">IFERROR(INDEX(Booking!$D:$D,MATCH($A4,Booking!$A:$A,0)),"")</f>
        <v>25000000</v>
      </c>
      <c r="G4" s="14" t="n">
        <f aca="false">IFERROR(INDEX(Confirmations!$D:$D,MATCH($A4,Confirmations!$A:$A,0)),"")</f>
        <v>25000000</v>
      </c>
      <c r="H4" s="15" t="n">
        <f aca="false">IFERROR(INDEX(Booking!$E:$E,MATCH($A4,Booking!$A:$A,0)),"")</f>
        <v>2.638</v>
      </c>
      <c r="I4" s="15" t="n">
        <f aca="false">IFERROR(INDEX(Confirmations!$E:$E,MATCH($A4,Confirmations!$A:$A,0)),"")</f>
        <v>2.638</v>
      </c>
      <c r="J4" s="3" t="n">
        <f aca="false">IFERROR(INDEX(Booking!$F:$F,MATCH($A4,Booking!$A:$A,0)),"")</f>
        <v>2</v>
      </c>
      <c r="K4" s="3" t="n">
        <f aca="false">IFERROR(INDEX(Confirmations!$F:$F,MATCH($A4,Confirmations!$A:$A,0)),"")</f>
        <v>2</v>
      </c>
      <c r="L4" s="3" t="str">
        <f aca="false">IF(NOT(C4),"Unconfirmed",IF(NOT(B4),"Unbooked",IF(D4&lt;&gt;E4,"Counterparty",IF(ABS(F4-G4)&gt;F4*Rules!$B$4/10000,"Notional",IF(H4&lt;&gt;I4,"Rate or price",IF(J4&lt;&gt;K4,"Value date","Matched"))))))</f>
        <v>Matched</v>
      </c>
      <c r="M4" s="3" t="n">
        <f aca="false">IF(B4,INDEX(Booking!$G:$G,MATCH(A4,Booking!$A:$A,0)),INDEX(Confirmations!$G:$G,MATCH(A4,Confirmations!$A:$A,0)))</f>
        <v>2</v>
      </c>
      <c r="N4" s="13" t="b">
        <f aca="false">AND(L4&lt;&gt;"Matched",M4&gt;Rules!$B$5)</f>
        <v>0</v>
      </c>
      <c r="O4" s="3" t="str">
        <f aca="false">INDEX(Rules!$B$8:$B$14,MATCH(L4,Rules!$A$8:$A$14,0))</f>
        <v>None</v>
      </c>
    </row>
    <row r="5" customFormat="false" ht="15" hidden="false" customHeight="false" outlineLevel="0" collapsed="false">
      <c r="A5" s="3" t="s">
        <v>39</v>
      </c>
      <c r="B5" s="13" t="b">
        <f aca="false">ISNUMBER(MATCH(A5,Booking!$A:$A,0))</f>
        <v>1</v>
      </c>
      <c r="C5" s="13" t="b">
        <f aca="false">ISNUMBER(MATCH(A5,Confirmations!$A:$A,0))</f>
        <v>1</v>
      </c>
      <c r="D5" s="3" t="str">
        <f aca="false">IFERROR(INDEX(Booking!$C:$C,MATCH($A5,Booking!$A:$A,0)),"")</f>
        <v>Solent Asset Management</v>
      </c>
      <c r="E5" s="3" t="str">
        <f aca="false">IFERROR(INDEX(Confirmations!$C:$C,MATCH($A5,Confirmations!$A:$A,0)),"")</f>
        <v>Solent Asset Management</v>
      </c>
      <c r="F5" s="14" t="n">
        <f aca="false">IFERROR(INDEX(Booking!$D:$D,MATCH($A5,Booking!$A:$A,0)),"")</f>
        <v>14000000</v>
      </c>
      <c r="G5" s="14" t="n">
        <f aca="false">IFERROR(INDEX(Confirmations!$D:$D,MATCH($A5,Confirmations!$A:$A,0)),"")</f>
        <v>14000000</v>
      </c>
      <c r="H5" s="15" t="n">
        <f aca="false">IFERROR(INDEX(Booking!$E:$E,MATCH($A5,Booking!$A:$A,0)),"")</f>
        <v>6.7727</v>
      </c>
      <c r="I5" s="15" t="n">
        <f aca="false">IFERROR(INDEX(Confirmations!$E:$E,MATCH($A5,Confirmations!$A:$A,0)),"")</f>
        <v>6.7727</v>
      </c>
      <c r="J5" s="3" t="n">
        <f aca="false">IFERROR(INDEX(Booking!$F:$F,MATCH($A5,Booking!$A:$A,0)),"")</f>
        <v>1</v>
      </c>
      <c r="K5" s="3" t="n">
        <f aca="false">IFERROR(INDEX(Confirmations!$F:$F,MATCH($A5,Confirmations!$A:$A,0)),"")</f>
        <v>1</v>
      </c>
      <c r="L5" s="3" t="str">
        <f aca="false">IF(NOT(C5),"Unconfirmed",IF(NOT(B5),"Unbooked",IF(D5&lt;&gt;E5,"Counterparty",IF(ABS(F5-G5)&gt;F5*Rules!$B$4/10000,"Notional",IF(H5&lt;&gt;I5,"Rate or price",IF(J5&lt;&gt;K5,"Value date","Matched"))))))</f>
        <v>Matched</v>
      </c>
      <c r="M5" s="3" t="n">
        <f aca="false">IF(B5,INDEX(Booking!$G:$G,MATCH(A5,Booking!$A:$A,0)),INDEX(Confirmations!$G:$G,MATCH(A5,Confirmations!$A:$A,0)))</f>
        <v>3</v>
      </c>
      <c r="N5" s="13" t="b">
        <f aca="false">AND(L5&lt;&gt;"Matched",M5&gt;Rules!$B$5)</f>
        <v>0</v>
      </c>
      <c r="O5" s="3" t="str">
        <f aca="false">INDEX(Rules!$B$8:$B$14,MATCH(L5,Rules!$A$8:$A$14,0))</f>
        <v>None</v>
      </c>
    </row>
    <row r="6" customFormat="false" ht="15" hidden="false" customHeight="false" outlineLevel="0" collapsed="false">
      <c r="A6" s="3" t="s">
        <v>42</v>
      </c>
      <c r="B6" s="13" t="b">
        <f aca="false">ISNUMBER(MATCH(A6,Booking!$A:$A,0))</f>
        <v>1</v>
      </c>
      <c r="C6" s="13" t="b">
        <f aca="false">ISNUMBER(MATCH(A6,Confirmations!$A:$A,0))</f>
        <v>1</v>
      </c>
      <c r="D6" s="3" t="str">
        <f aca="false">IFERROR(INDEX(Booking!$C:$C,MATCH($A6,Booking!$A:$A,0)),"")</f>
        <v>Northbay Pension Fund</v>
      </c>
      <c r="E6" s="3" t="str">
        <f aca="false">IFERROR(INDEX(Confirmations!$C:$C,MATCH($A6,Confirmations!$A:$A,0)),"")</f>
        <v>Northbay Pension Fund</v>
      </c>
      <c r="F6" s="14" t="n">
        <f aca="false">IFERROR(INDEX(Booking!$D:$D,MATCH($A6,Booking!$A:$A,0)),"")</f>
        <v>35000000</v>
      </c>
      <c r="G6" s="14" t="n">
        <f aca="false">IFERROR(INDEX(Confirmations!$D:$D,MATCH($A6,Confirmations!$A:$A,0)),"")</f>
        <v>35000000</v>
      </c>
      <c r="H6" s="15" t="n">
        <f aca="false">IFERROR(INDEX(Booking!$E:$E,MATCH($A6,Booking!$A:$A,0)),"")</f>
        <v>3.365</v>
      </c>
      <c r="I6" s="15" t="n">
        <f aca="false">IFERROR(INDEX(Confirmations!$E:$E,MATCH($A6,Confirmations!$A:$A,0)),"")</f>
        <v>3.365</v>
      </c>
      <c r="J6" s="3" t="n">
        <f aca="false">IFERROR(INDEX(Booking!$F:$F,MATCH($A6,Booking!$A:$A,0)),"")</f>
        <v>3</v>
      </c>
      <c r="K6" s="3" t="n">
        <f aca="false">IFERROR(INDEX(Confirmations!$F:$F,MATCH($A6,Confirmations!$A:$A,0)),"")</f>
        <v>3</v>
      </c>
      <c r="L6" s="3" t="str">
        <f aca="false">IF(NOT(C6),"Unconfirmed",IF(NOT(B6),"Unbooked",IF(D6&lt;&gt;E6,"Counterparty",IF(ABS(F6-G6)&gt;F6*Rules!$B$4/10000,"Notional",IF(H6&lt;&gt;I6,"Rate or price",IF(J6&lt;&gt;K6,"Value date","Matched"))))))</f>
        <v>Matched</v>
      </c>
      <c r="M6" s="3" t="n">
        <f aca="false">IF(B6,INDEX(Booking!$G:$G,MATCH(A6,Booking!$A:$A,0)),INDEX(Confirmations!$G:$G,MATCH(A6,Confirmations!$A:$A,0)))</f>
        <v>1</v>
      </c>
      <c r="N6" s="13" t="b">
        <f aca="false">AND(L6&lt;&gt;"Matched",M6&gt;Rules!$B$5)</f>
        <v>0</v>
      </c>
      <c r="O6" s="3" t="str">
        <f aca="false">INDEX(Rules!$B$8:$B$14,MATCH(L6,Rules!$A$8:$A$14,0))</f>
        <v>None</v>
      </c>
    </row>
    <row r="7" customFormat="false" ht="15" hidden="false" customHeight="false" outlineLevel="0" collapsed="false">
      <c r="A7" s="3" t="s">
        <v>44</v>
      </c>
      <c r="B7" s="13" t="b">
        <f aca="false">ISNUMBER(MATCH(A7,Booking!$A:$A,0))</f>
        <v>1</v>
      </c>
      <c r="C7" s="13" t="b">
        <f aca="false">ISNUMBER(MATCH(A7,Confirmations!$A:$A,0))</f>
        <v>1</v>
      </c>
      <c r="D7" s="3" t="str">
        <f aca="false">IFERROR(INDEX(Booking!$C:$C,MATCH($A7,Booking!$A:$A,0)),"")</f>
        <v>Meridian Bank</v>
      </c>
      <c r="E7" s="3" t="str">
        <f aca="false">IFERROR(INDEX(Confirmations!$C:$C,MATCH($A7,Confirmations!$A:$A,0)),"")</f>
        <v>Meridian Bank</v>
      </c>
      <c r="F7" s="14" t="n">
        <f aca="false">IFERROR(INDEX(Booking!$D:$D,MATCH($A7,Booking!$A:$A,0)),"")</f>
        <v>38000000</v>
      </c>
      <c r="G7" s="14" t="n">
        <f aca="false">IFERROR(INDEX(Confirmations!$D:$D,MATCH($A7,Confirmations!$A:$A,0)),"")</f>
        <v>38000000</v>
      </c>
      <c r="H7" s="15" t="n">
        <f aca="false">IFERROR(INDEX(Booking!$E:$E,MATCH($A7,Booking!$A:$A,0)),"")</f>
        <v>2.6629</v>
      </c>
      <c r="I7" s="15" t="n">
        <f aca="false">IFERROR(INDEX(Confirmations!$E:$E,MATCH($A7,Confirmations!$A:$A,0)),"")</f>
        <v>2.6629</v>
      </c>
      <c r="J7" s="3" t="n">
        <f aca="false">IFERROR(INDEX(Booking!$F:$F,MATCH($A7,Booking!$A:$A,0)),"")</f>
        <v>2</v>
      </c>
      <c r="K7" s="3" t="n">
        <f aca="false">IFERROR(INDEX(Confirmations!$F:$F,MATCH($A7,Confirmations!$A:$A,0)),"")</f>
        <v>2</v>
      </c>
      <c r="L7" s="3" t="str">
        <f aca="false">IF(NOT(C7),"Unconfirmed",IF(NOT(B7),"Unbooked",IF(D7&lt;&gt;E7,"Counterparty",IF(ABS(F7-G7)&gt;F7*Rules!$B$4/10000,"Notional",IF(H7&lt;&gt;I7,"Rate or price",IF(J7&lt;&gt;K7,"Value date","Matched"))))))</f>
        <v>Matched</v>
      </c>
      <c r="M7" s="3" t="n">
        <f aca="false">IF(B7,INDEX(Booking!$G:$G,MATCH(A7,Booking!$A:$A,0)),INDEX(Confirmations!$G:$G,MATCH(A7,Confirmations!$A:$A,0)))</f>
        <v>3</v>
      </c>
      <c r="N7" s="13" t="b">
        <f aca="false">AND(L7&lt;&gt;"Matched",M7&gt;Rules!$B$5)</f>
        <v>0</v>
      </c>
      <c r="O7" s="3" t="str">
        <f aca="false">INDEX(Rules!$B$8:$B$14,MATCH(L7,Rules!$A$8:$A$14,0))</f>
        <v>None</v>
      </c>
    </row>
    <row r="8" customFormat="false" ht="15" hidden="false" customHeight="false" outlineLevel="0" collapsed="false">
      <c r="A8" s="3" t="s">
        <v>46</v>
      </c>
      <c r="B8" s="13" t="b">
        <f aca="false">ISNUMBER(MATCH(A8,Booking!$A:$A,0))</f>
        <v>1</v>
      </c>
      <c r="C8" s="13" t="b">
        <f aca="false">ISNUMBER(MATCH(A8,Confirmations!$A:$A,0))</f>
        <v>1</v>
      </c>
      <c r="D8" s="3" t="str">
        <f aca="false">IFERROR(INDEX(Booking!$C:$C,MATCH($A8,Booking!$A:$A,0)),"")</f>
        <v>Meridian Bank</v>
      </c>
      <c r="E8" s="3" t="str">
        <f aca="false">IFERROR(INDEX(Confirmations!$C:$C,MATCH($A8,Confirmations!$A:$A,0)),"")</f>
        <v>Meridian Bank</v>
      </c>
      <c r="F8" s="14" t="n">
        <f aca="false">IFERROR(INDEX(Booking!$D:$D,MATCH($A8,Booking!$A:$A,0)),"")</f>
        <v>50000000</v>
      </c>
      <c r="G8" s="14" t="n">
        <f aca="false">IFERROR(INDEX(Confirmations!$D:$D,MATCH($A8,Confirmations!$A:$A,0)),"")</f>
        <v>50000000</v>
      </c>
      <c r="H8" s="15" t="n">
        <f aca="false">IFERROR(INDEX(Booking!$E:$E,MATCH($A8,Booking!$A:$A,0)),"")</f>
        <v>4.2661</v>
      </c>
      <c r="I8" s="15" t="n">
        <f aca="false">IFERROR(INDEX(Confirmations!$E:$E,MATCH($A8,Confirmations!$A:$A,0)),"")</f>
        <v>4.2661</v>
      </c>
      <c r="J8" s="3" t="n">
        <f aca="false">IFERROR(INDEX(Booking!$F:$F,MATCH($A8,Booking!$A:$A,0)),"")</f>
        <v>1</v>
      </c>
      <c r="K8" s="3" t="n">
        <f aca="false">IFERROR(INDEX(Confirmations!$F:$F,MATCH($A8,Confirmations!$A:$A,0)),"")</f>
        <v>1</v>
      </c>
      <c r="L8" s="3" t="str">
        <f aca="false">IF(NOT(C8),"Unconfirmed",IF(NOT(B8),"Unbooked",IF(D8&lt;&gt;E8,"Counterparty",IF(ABS(F8-G8)&gt;F8*Rules!$B$4/10000,"Notional",IF(H8&lt;&gt;I8,"Rate or price",IF(J8&lt;&gt;K8,"Value date","Matched"))))))</f>
        <v>Matched</v>
      </c>
      <c r="M8" s="3" t="n">
        <f aca="false">IF(B8,INDEX(Booking!$G:$G,MATCH(A8,Booking!$A:$A,0)),INDEX(Confirmations!$G:$G,MATCH(A8,Confirmations!$A:$A,0)))</f>
        <v>5</v>
      </c>
      <c r="N8" s="13" t="b">
        <f aca="false">AND(L8&lt;&gt;"Matched",M8&gt;Rules!$B$5)</f>
        <v>0</v>
      </c>
      <c r="O8" s="3" t="str">
        <f aca="false">INDEX(Rules!$B$8:$B$14,MATCH(L8,Rules!$A$8:$A$14,0))</f>
        <v>None</v>
      </c>
    </row>
    <row r="9" customFormat="false" ht="15" hidden="false" customHeight="false" outlineLevel="0" collapsed="false">
      <c r="A9" s="3" t="s">
        <v>48</v>
      </c>
      <c r="B9" s="13" t="b">
        <f aca="false">ISNUMBER(MATCH(A9,Booking!$A:$A,0))</f>
        <v>1</v>
      </c>
      <c r="C9" s="13" t="b">
        <f aca="false">ISNUMBER(MATCH(A9,Confirmations!$A:$A,0))</f>
        <v>1</v>
      </c>
      <c r="D9" s="3" t="str">
        <f aca="false">IFERROR(INDEX(Booking!$C:$C,MATCH($A9,Booking!$A:$A,0)),"")</f>
        <v>Kestrel Macro Fund</v>
      </c>
      <c r="E9" s="3" t="str">
        <f aca="false">IFERROR(INDEX(Confirmations!$C:$C,MATCH($A9,Confirmations!$A:$A,0)),"")</f>
        <v>Kestrel Macro Fund</v>
      </c>
      <c r="F9" s="14" t="n">
        <f aca="false">IFERROR(INDEX(Booking!$D:$D,MATCH($A9,Booking!$A:$A,0)),"")</f>
        <v>37000000</v>
      </c>
      <c r="G9" s="14" t="n">
        <f aca="false">IFERROR(INDEX(Confirmations!$D:$D,MATCH($A9,Confirmations!$A:$A,0)),"")</f>
        <v>37000000</v>
      </c>
      <c r="H9" s="15" t="n">
        <f aca="false">IFERROR(INDEX(Booking!$E:$E,MATCH($A9,Booking!$A:$A,0)),"")</f>
        <v>4.6811</v>
      </c>
      <c r="I9" s="15" t="n">
        <f aca="false">IFERROR(INDEX(Confirmations!$E:$E,MATCH($A9,Confirmations!$A:$A,0)),"")</f>
        <v>4.6811</v>
      </c>
      <c r="J9" s="3" t="n">
        <f aca="false">IFERROR(INDEX(Booking!$F:$F,MATCH($A9,Booking!$A:$A,0)),"")</f>
        <v>3</v>
      </c>
      <c r="K9" s="3" t="n">
        <f aca="false">IFERROR(INDEX(Confirmations!$F:$F,MATCH($A9,Confirmations!$A:$A,0)),"")</f>
        <v>3</v>
      </c>
      <c r="L9" s="3" t="str">
        <f aca="false">IF(NOT(C9),"Unconfirmed",IF(NOT(B9),"Unbooked",IF(D9&lt;&gt;E9,"Counterparty",IF(ABS(F9-G9)&gt;F9*Rules!$B$4/10000,"Notional",IF(H9&lt;&gt;I9,"Rate or price",IF(J9&lt;&gt;K9,"Value date","Matched"))))))</f>
        <v>Matched</v>
      </c>
      <c r="M9" s="3" t="n">
        <f aca="false">IF(B9,INDEX(Booking!$G:$G,MATCH(A9,Booking!$A:$A,0)),INDEX(Confirmations!$G:$G,MATCH(A9,Confirmations!$A:$A,0)))</f>
        <v>1</v>
      </c>
      <c r="N9" s="13" t="b">
        <f aca="false">AND(L9&lt;&gt;"Matched",M9&gt;Rules!$B$5)</f>
        <v>0</v>
      </c>
      <c r="O9" s="3" t="str">
        <f aca="false">INDEX(Rules!$B$8:$B$14,MATCH(L9,Rules!$A$8:$A$14,0))</f>
        <v>None</v>
      </c>
    </row>
    <row r="10" customFormat="false" ht="15" hidden="false" customHeight="false" outlineLevel="0" collapsed="false">
      <c r="A10" s="3" t="s">
        <v>50</v>
      </c>
      <c r="B10" s="13" t="b">
        <f aca="false">ISNUMBER(MATCH(A10,Booking!$A:$A,0))</f>
        <v>1</v>
      </c>
      <c r="C10" s="13" t="b">
        <f aca="false">ISNUMBER(MATCH(A10,Confirmations!$A:$A,0))</f>
        <v>1</v>
      </c>
      <c r="D10" s="3" t="str">
        <f aca="false">IFERROR(INDEX(Booking!$C:$C,MATCH($A10,Booking!$A:$A,0)),"")</f>
        <v>Meridian Bank</v>
      </c>
      <c r="E10" s="3" t="str">
        <f aca="false">IFERROR(INDEX(Confirmations!$C:$C,MATCH($A10,Confirmations!$A:$A,0)),"")</f>
        <v>Meridian Bank</v>
      </c>
      <c r="F10" s="14" t="n">
        <f aca="false">IFERROR(INDEX(Booking!$D:$D,MATCH($A10,Booking!$A:$A,0)),"")</f>
        <v>19000000</v>
      </c>
      <c r="G10" s="14" t="n">
        <f aca="false">IFERROR(INDEX(Confirmations!$D:$D,MATCH($A10,Confirmations!$A:$A,0)),"")</f>
        <v>18769137</v>
      </c>
      <c r="H10" s="15" t="n">
        <f aca="false">IFERROR(INDEX(Booking!$E:$E,MATCH($A10,Booking!$A:$A,0)),"")</f>
        <v>3.0089</v>
      </c>
      <c r="I10" s="15" t="n">
        <f aca="false">IFERROR(INDEX(Confirmations!$E:$E,MATCH($A10,Confirmations!$A:$A,0)),"")</f>
        <v>3.0089</v>
      </c>
      <c r="J10" s="3" t="n">
        <f aca="false">IFERROR(INDEX(Booking!$F:$F,MATCH($A10,Booking!$A:$A,0)),"")</f>
        <v>3</v>
      </c>
      <c r="K10" s="3" t="n">
        <f aca="false">IFERROR(INDEX(Confirmations!$F:$F,MATCH($A10,Confirmations!$A:$A,0)),"")</f>
        <v>3</v>
      </c>
      <c r="L10" s="3" t="str">
        <f aca="false">IF(NOT(C10),"Unconfirmed",IF(NOT(B10),"Unbooked",IF(D10&lt;&gt;E10,"Counterparty",IF(ABS(F10-G10)&gt;F10*Rules!$B$4/10000,"Notional",IF(H10&lt;&gt;I10,"Rate or price",IF(J10&lt;&gt;K10,"Value date","Matched"))))))</f>
        <v>Notional</v>
      </c>
      <c r="M10" s="3" t="n">
        <f aca="false">IF(B10,INDEX(Booking!$G:$G,MATCH(A10,Booking!$A:$A,0)),INDEX(Confirmations!$G:$G,MATCH(A10,Confirmations!$A:$A,0)))</f>
        <v>0</v>
      </c>
      <c r="N10" s="13" t="b">
        <f aca="false">AND(L10&lt;&gt;"Matched",M10&gt;Rules!$B$5)</f>
        <v>0</v>
      </c>
      <c r="O10" s="3" t="str">
        <f aca="false">INDEX(Rules!$B$8:$B$14,MATCH(L10,Rules!$A$8:$A$14,0))</f>
        <v>Middle office: amend booking</v>
      </c>
    </row>
    <row r="11" customFormat="false" ht="15" hidden="false" customHeight="false" outlineLevel="0" collapsed="false">
      <c r="A11" s="3" t="s">
        <v>51</v>
      </c>
      <c r="B11" s="13" t="b">
        <f aca="false">ISNUMBER(MATCH(A11,Booking!$A:$A,0))</f>
        <v>1</v>
      </c>
      <c r="C11" s="13" t="b">
        <f aca="false">ISNUMBER(MATCH(A11,Confirmations!$A:$A,0))</f>
        <v>1</v>
      </c>
      <c r="D11" s="3" t="str">
        <f aca="false">IFERROR(INDEX(Booking!$C:$C,MATCH($A11,Booking!$A:$A,0)),"")</f>
        <v>Aldridge Capital</v>
      </c>
      <c r="E11" s="3" t="str">
        <f aca="false">IFERROR(INDEX(Confirmations!$C:$C,MATCH($A11,Confirmations!$A:$A,0)),"")</f>
        <v>Aldridge Capital</v>
      </c>
      <c r="F11" s="14" t="n">
        <f aca="false">IFERROR(INDEX(Booking!$D:$D,MATCH($A11,Booking!$A:$A,0)),"")</f>
        <v>50000000</v>
      </c>
      <c r="G11" s="14" t="n">
        <f aca="false">IFERROR(INDEX(Confirmations!$D:$D,MATCH($A11,Confirmations!$A:$A,0)),"")</f>
        <v>50000000</v>
      </c>
      <c r="H11" s="15" t="n">
        <f aca="false">IFERROR(INDEX(Booking!$E:$E,MATCH($A11,Booking!$A:$A,0)),"")</f>
        <v>5.9933</v>
      </c>
      <c r="I11" s="15" t="n">
        <f aca="false">IFERROR(INDEX(Confirmations!$E:$E,MATCH($A11,Confirmations!$A:$A,0)),"")</f>
        <v>5.9933</v>
      </c>
      <c r="J11" s="3" t="n">
        <f aca="false">IFERROR(INDEX(Booking!$F:$F,MATCH($A11,Booking!$A:$A,0)),"")</f>
        <v>1</v>
      </c>
      <c r="K11" s="3" t="n">
        <f aca="false">IFERROR(INDEX(Confirmations!$F:$F,MATCH($A11,Confirmations!$A:$A,0)),"")</f>
        <v>1</v>
      </c>
      <c r="L11" s="3" t="str">
        <f aca="false">IF(NOT(C11),"Unconfirmed",IF(NOT(B11),"Unbooked",IF(D11&lt;&gt;E11,"Counterparty",IF(ABS(F11-G11)&gt;F11*Rules!$B$4/10000,"Notional",IF(H11&lt;&gt;I11,"Rate or price",IF(J11&lt;&gt;K11,"Value date","Matched"))))))</f>
        <v>Matched</v>
      </c>
      <c r="M11" s="3" t="n">
        <f aca="false">IF(B11,INDEX(Booking!$G:$G,MATCH(A11,Booking!$A:$A,0)),INDEX(Confirmations!$G:$G,MATCH(A11,Confirmations!$A:$A,0)))</f>
        <v>4</v>
      </c>
      <c r="N11" s="13" t="b">
        <f aca="false">AND(L11&lt;&gt;"Matched",M11&gt;Rules!$B$5)</f>
        <v>0</v>
      </c>
      <c r="O11" s="3" t="str">
        <f aca="false">INDEX(Rules!$B$8:$B$14,MATCH(L11,Rules!$A$8:$A$14,0))</f>
        <v>None</v>
      </c>
    </row>
    <row r="12" customFormat="false" ht="15" hidden="false" customHeight="false" outlineLevel="0" collapsed="false">
      <c r="A12" s="3" t="s">
        <v>54</v>
      </c>
      <c r="B12" s="13" t="b">
        <f aca="false">ISNUMBER(MATCH(A12,Booking!$A:$A,0))</f>
        <v>1</v>
      </c>
      <c r="C12" s="13" t="b">
        <f aca="false">ISNUMBER(MATCH(A12,Confirmations!$A:$A,0))</f>
        <v>1</v>
      </c>
      <c r="D12" s="3" t="str">
        <f aca="false">IFERROR(INDEX(Booking!$C:$C,MATCH($A12,Booking!$A:$A,0)),"")</f>
        <v>Aldridge Capital</v>
      </c>
      <c r="E12" s="3" t="str">
        <f aca="false">IFERROR(INDEX(Confirmations!$C:$C,MATCH($A12,Confirmations!$A:$A,0)),"")</f>
        <v>Aldridge Capital</v>
      </c>
      <c r="F12" s="14" t="n">
        <f aca="false">IFERROR(INDEX(Booking!$D:$D,MATCH($A12,Booking!$A:$A,0)),"")</f>
        <v>21000000</v>
      </c>
      <c r="G12" s="14" t="n">
        <f aca="false">IFERROR(INDEX(Confirmations!$D:$D,MATCH($A12,Confirmations!$A:$A,0)),"")</f>
        <v>21000000</v>
      </c>
      <c r="H12" s="15" t="n">
        <f aca="false">IFERROR(INDEX(Booking!$E:$E,MATCH($A12,Booking!$A:$A,0)),"")</f>
        <v>5.1547</v>
      </c>
      <c r="I12" s="15" t="n">
        <f aca="false">IFERROR(INDEX(Confirmations!$E:$E,MATCH($A12,Confirmations!$A:$A,0)),"")</f>
        <v>5.1547</v>
      </c>
      <c r="J12" s="3" t="n">
        <f aca="false">IFERROR(INDEX(Booking!$F:$F,MATCH($A12,Booking!$A:$A,0)),"")</f>
        <v>2</v>
      </c>
      <c r="K12" s="3" t="n">
        <f aca="false">IFERROR(INDEX(Confirmations!$F:$F,MATCH($A12,Confirmations!$A:$A,0)),"")</f>
        <v>2</v>
      </c>
      <c r="L12" s="3" t="str">
        <f aca="false">IF(NOT(C12),"Unconfirmed",IF(NOT(B12),"Unbooked",IF(D12&lt;&gt;E12,"Counterparty",IF(ABS(F12-G12)&gt;F12*Rules!$B$4/10000,"Notional",IF(H12&lt;&gt;I12,"Rate or price",IF(J12&lt;&gt;K12,"Value date","Matched"))))))</f>
        <v>Matched</v>
      </c>
      <c r="M12" s="3" t="n">
        <f aca="false">IF(B12,INDEX(Booking!$G:$G,MATCH(A12,Booking!$A:$A,0)),INDEX(Confirmations!$G:$G,MATCH(A12,Confirmations!$A:$A,0)))</f>
        <v>3</v>
      </c>
      <c r="N12" s="13" t="b">
        <f aca="false">AND(L12&lt;&gt;"Matched",M12&gt;Rules!$B$5)</f>
        <v>0</v>
      </c>
      <c r="O12" s="3" t="str">
        <f aca="false">INDEX(Rules!$B$8:$B$14,MATCH(L12,Rules!$A$8:$A$14,0))</f>
        <v>None</v>
      </c>
    </row>
    <row r="13" customFormat="false" ht="15" hidden="false" customHeight="false" outlineLevel="0" collapsed="false">
      <c r="A13" s="3" t="s">
        <v>55</v>
      </c>
      <c r="B13" s="13" t="b">
        <f aca="false">ISNUMBER(MATCH(A13,Booking!$A:$A,0))</f>
        <v>1</v>
      </c>
      <c r="C13" s="13" t="b">
        <f aca="false">ISNUMBER(MATCH(A13,Confirmations!$A:$A,0))</f>
        <v>1</v>
      </c>
      <c r="D13" s="3" t="str">
        <f aca="false">IFERROR(INDEX(Booking!$C:$C,MATCH($A13,Booking!$A:$A,0)),"")</f>
        <v>Aldridge Capital</v>
      </c>
      <c r="E13" s="3" t="str">
        <f aca="false">IFERROR(INDEX(Confirmations!$C:$C,MATCH($A13,Confirmations!$A:$A,0)),"")</f>
        <v>Aldridge Capital</v>
      </c>
      <c r="F13" s="14" t="n">
        <f aca="false">IFERROR(INDEX(Booking!$D:$D,MATCH($A13,Booking!$A:$A,0)),"")</f>
        <v>43000000</v>
      </c>
      <c r="G13" s="14" t="n">
        <f aca="false">IFERROR(INDEX(Confirmations!$D:$D,MATCH($A13,Confirmations!$A:$A,0)),"")</f>
        <v>43000000</v>
      </c>
      <c r="H13" s="15" t="n">
        <f aca="false">IFERROR(INDEX(Booking!$E:$E,MATCH($A13,Booking!$A:$A,0)),"")</f>
        <v>3.1705</v>
      </c>
      <c r="I13" s="15" t="n">
        <f aca="false">IFERROR(INDEX(Confirmations!$E:$E,MATCH($A13,Confirmations!$A:$A,0)),"")</f>
        <v>3.1705</v>
      </c>
      <c r="J13" s="3" t="n">
        <f aca="false">IFERROR(INDEX(Booking!$F:$F,MATCH($A13,Booking!$A:$A,0)),"")</f>
        <v>3</v>
      </c>
      <c r="K13" s="3" t="n">
        <f aca="false">IFERROR(INDEX(Confirmations!$F:$F,MATCH($A13,Confirmations!$A:$A,0)),"")</f>
        <v>3</v>
      </c>
      <c r="L13" s="3" t="str">
        <f aca="false">IF(NOT(C13),"Unconfirmed",IF(NOT(B13),"Unbooked",IF(D13&lt;&gt;E13,"Counterparty",IF(ABS(F13-G13)&gt;F13*Rules!$B$4/10000,"Notional",IF(H13&lt;&gt;I13,"Rate or price",IF(J13&lt;&gt;K13,"Value date","Matched"))))))</f>
        <v>Matched</v>
      </c>
      <c r="M13" s="3" t="n">
        <f aca="false">IF(B13,INDEX(Booking!$G:$G,MATCH(A13,Booking!$A:$A,0)),INDEX(Confirmations!$G:$G,MATCH(A13,Confirmations!$A:$A,0)))</f>
        <v>6</v>
      </c>
      <c r="N13" s="13" t="b">
        <f aca="false">AND(L13&lt;&gt;"Matched",M13&gt;Rules!$B$5)</f>
        <v>0</v>
      </c>
      <c r="O13" s="3" t="str">
        <f aca="false">INDEX(Rules!$B$8:$B$14,MATCH(L13,Rules!$A$8:$A$14,0))</f>
        <v>None</v>
      </c>
    </row>
    <row r="14" customFormat="false" ht="15" hidden="false" customHeight="false" outlineLevel="0" collapsed="false">
      <c r="A14" s="3" t="s">
        <v>56</v>
      </c>
      <c r="B14" s="13" t="b">
        <f aca="false">ISNUMBER(MATCH(A14,Booking!$A:$A,0))</f>
        <v>1</v>
      </c>
      <c r="C14" s="13" t="b">
        <f aca="false">ISNUMBER(MATCH(A14,Confirmations!$A:$A,0))</f>
        <v>1</v>
      </c>
      <c r="D14" s="3" t="str">
        <f aca="false">IFERROR(INDEX(Booking!$C:$C,MATCH($A14,Booking!$A:$A,0)),"")</f>
        <v>Kestrel Macro Fund</v>
      </c>
      <c r="E14" s="3" t="str">
        <f aca="false">IFERROR(INDEX(Confirmations!$C:$C,MATCH($A14,Confirmations!$A:$A,0)),"")</f>
        <v>Kestrel Macro Fund</v>
      </c>
      <c r="F14" s="14" t="n">
        <f aca="false">IFERROR(INDEX(Booking!$D:$D,MATCH($A14,Booking!$A:$A,0)),"")</f>
        <v>3000000</v>
      </c>
      <c r="G14" s="14" t="n">
        <f aca="false">IFERROR(INDEX(Confirmations!$D:$D,MATCH($A14,Confirmations!$A:$A,0)),"")</f>
        <v>3000000</v>
      </c>
      <c r="H14" s="15" t="n">
        <f aca="false">IFERROR(INDEX(Booking!$E:$E,MATCH($A14,Booking!$A:$A,0)),"")</f>
        <v>6.0342</v>
      </c>
      <c r="I14" s="15" t="n">
        <f aca="false">IFERROR(INDEX(Confirmations!$E:$E,MATCH($A14,Confirmations!$A:$A,0)),"")</f>
        <v>6.0342</v>
      </c>
      <c r="J14" s="3" t="n">
        <f aca="false">IFERROR(INDEX(Booking!$F:$F,MATCH($A14,Booking!$A:$A,0)),"")</f>
        <v>2</v>
      </c>
      <c r="K14" s="3" t="n">
        <f aca="false">IFERROR(INDEX(Confirmations!$F:$F,MATCH($A14,Confirmations!$A:$A,0)),"")</f>
        <v>2</v>
      </c>
      <c r="L14" s="3" t="str">
        <f aca="false">IF(NOT(C14),"Unconfirmed",IF(NOT(B14),"Unbooked",IF(D14&lt;&gt;E14,"Counterparty",IF(ABS(F14-G14)&gt;F14*Rules!$B$4/10000,"Notional",IF(H14&lt;&gt;I14,"Rate or price",IF(J14&lt;&gt;K14,"Value date","Matched"))))))</f>
        <v>Matched</v>
      </c>
      <c r="M14" s="3" t="n">
        <f aca="false">IF(B14,INDEX(Booking!$G:$G,MATCH(A14,Booking!$A:$A,0)),INDEX(Confirmations!$G:$G,MATCH(A14,Confirmations!$A:$A,0)))</f>
        <v>1</v>
      </c>
      <c r="N14" s="13" t="b">
        <f aca="false">AND(L14&lt;&gt;"Matched",M14&gt;Rules!$B$5)</f>
        <v>0</v>
      </c>
      <c r="O14" s="3" t="str">
        <f aca="false">INDEX(Rules!$B$8:$B$14,MATCH(L14,Rules!$A$8:$A$14,0))</f>
        <v>None</v>
      </c>
    </row>
    <row r="15" customFormat="false" ht="15" hidden="false" customHeight="false" outlineLevel="0" collapsed="false">
      <c r="A15" s="3" t="s">
        <v>57</v>
      </c>
      <c r="B15" s="13" t="b">
        <f aca="false">ISNUMBER(MATCH(A15,Booking!$A:$A,0))</f>
        <v>1</v>
      </c>
      <c r="C15" s="13" t="b">
        <f aca="false">ISNUMBER(MATCH(A15,Confirmations!$A:$A,0))</f>
        <v>1</v>
      </c>
      <c r="D15" s="3" t="str">
        <f aca="false">IFERROR(INDEX(Booking!$C:$C,MATCH($A15,Booking!$A:$A,0)),"")</f>
        <v>Aldridge Capital</v>
      </c>
      <c r="E15" s="3" t="str">
        <f aca="false">IFERROR(INDEX(Confirmations!$C:$C,MATCH($A15,Confirmations!$A:$A,0)),"")</f>
        <v>Aldridge Capital</v>
      </c>
      <c r="F15" s="14" t="n">
        <f aca="false">IFERROR(INDEX(Booking!$D:$D,MATCH($A15,Booking!$A:$A,0)),"")</f>
        <v>27000000</v>
      </c>
      <c r="G15" s="14" t="n">
        <f aca="false">IFERROR(INDEX(Confirmations!$D:$D,MATCH($A15,Confirmations!$A:$A,0)),"")</f>
        <v>27000000</v>
      </c>
      <c r="H15" s="15" t="n">
        <f aca="false">IFERROR(INDEX(Booking!$E:$E,MATCH($A15,Booking!$A:$A,0)),"")</f>
        <v>2.9032</v>
      </c>
      <c r="I15" s="15" t="n">
        <f aca="false">IFERROR(INDEX(Confirmations!$E:$E,MATCH($A15,Confirmations!$A:$A,0)),"")</f>
        <v>2.9032</v>
      </c>
      <c r="J15" s="3" t="n">
        <f aca="false">IFERROR(INDEX(Booking!$F:$F,MATCH($A15,Booking!$A:$A,0)),"")</f>
        <v>2</v>
      </c>
      <c r="K15" s="3" t="n">
        <f aca="false">IFERROR(INDEX(Confirmations!$F:$F,MATCH($A15,Confirmations!$A:$A,0)),"")</f>
        <v>2</v>
      </c>
      <c r="L15" s="3" t="str">
        <f aca="false">IF(NOT(C15),"Unconfirmed",IF(NOT(B15),"Unbooked",IF(D15&lt;&gt;E15,"Counterparty",IF(ABS(F15-G15)&gt;F15*Rules!$B$4/10000,"Notional",IF(H15&lt;&gt;I15,"Rate or price",IF(J15&lt;&gt;K15,"Value date","Matched"))))))</f>
        <v>Matched</v>
      </c>
      <c r="M15" s="3" t="n">
        <f aca="false">IF(B15,INDEX(Booking!$G:$G,MATCH(A15,Booking!$A:$A,0)),INDEX(Confirmations!$G:$G,MATCH(A15,Confirmations!$A:$A,0)))</f>
        <v>0</v>
      </c>
      <c r="N15" s="13" t="b">
        <f aca="false">AND(L15&lt;&gt;"Matched",M15&gt;Rules!$B$5)</f>
        <v>0</v>
      </c>
      <c r="O15" s="3" t="str">
        <f aca="false">INDEX(Rules!$B$8:$B$14,MATCH(L15,Rules!$A$8:$A$14,0))</f>
        <v>None</v>
      </c>
    </row>
    <row r="16" customFormat="false" ht="15" hidden="false" customHeight="false" outlineLevel="0" collapsed="false">
      <c r="A16" s="3" t="s">
        <v>58</v>
      </c>
      <c r="B16" s="13" t="b">
        <f aca="false">ISNUMBER(MATCH(A16,Booking!$A:$A,0))</f>
        <v>1</v>
      </c>
      <c r="C16" s="13" t="b">
        <f aca="false">ISNUMBER(MATCH(A16,Confirmations!$A:$A,0))</f>
        <v>1</v>
      </c>
      <c r="D16" s="3" t="str">
        <f aca="false">IFERROR(INDEX(Booking!$C:$C,MATCH($A16,Booking!$A:$A,0)),"")</f>
        <v>Northbay Pension Fund</v>
      </c>
      <c r="E16" s="3" t="str">
        <f aca="false">IFERROR(INDEX(Confirmations!$C:$C,MATCH($A16,Confirmations!$A:$A,0)),"")</f>
        <v>Northbay Pension Fund</v>
      </c>
      <c r="F16" s="14" t="n">
        <f aca="false">IFERROR(INDEX(Booking!$D:$D,MATCH($A16,Booking!$A:$A,0)),"")</f>
        <v>29000000</v>
      </c>
      <c r="G16" s="14" t="n">
        <f aca="false">IFERROR(INDEX(Confirmations!$D:$D,MATCH($A16,Confirmations!$A:$A,0)),"")</f>
        <v>29000000</v>
      </c>
      <c r="H16" s="15" t="n">
        <f aca="false">IFERROR(INDEX(Booking!$E:$E,MATCH($A16,Booking!$A:$A,0)),"")</f>
        <v>4.0004</v>
      </c>
      <c r="I16" s="15" t="n">
        <f aca="false">IFERROR(INDEX(Confirmations!$E:$E,MATCH($A16,Confirmations!$A:$A,0)),"")</f>
        <v>4.0004</v>
      </c>
      <c r="J16" s="3" t="n">
        <f aca="false">IFERROR(INDEX(Booking!$F:$F,MATCH($A16,Booking!$A:$A,0)),"")</f>
        <v>3</v>
      </c>
      <c r="K16" s="3" t="n">
        <f aca="false">IFERROR(INDEX(Confirmations!$F:$F,MATCH($A16,Confirmations!$A:$A,0)),"")</f>
        <v>3</v>
      </c>
      <c r="L16" s="3" t="str">
        <f aca="false">IF(NOT(C16),"Unconfirmed",IF(NOT(B16),"Unbooked",IF(D16&lt;&gt;E16,"Counterparty",IF(ABS(F16-G16)&gt;F16*Rules!$B$4/10000,"Notional",IF(H16&lt;&gt;I16,"Rate or price",IF(J16&lt;&gt;K16,"Value date","Matched"))))))</f>
        <v>Matched</v>
      </c>
      <c r="M16" s="3" t="n">
        <f aca="false">IF(B16,INDEX(Booking!$G:$G,MATCH(A16,Booking!$A:$A,0)),INDEX(Confirmations!$G:$G,MATCH(A16,Confirmations!$A:$A,0)))</f>
        <v>4</v>
      </c>
      <c r="N16" s="13" t="b">
        <f aca="false">AND(L16&lt;&gt;"Matched",M16&gt;Rules!$B$5)</f>
        <v>0</v>
      </c>
      <c r="O16" s="3" t="str">
        <f aca="false">INDEX(Rules!$B$8:$B$14,MATCH(L16,Rules!$A$8:$A$14,0))</f>
        <v>None</v>
      </c>
    </row>
    <row r="17" customFormat="false" ht="15" hidden="false" customHeight="false" outlineLevel="0" collapsed="false">
      <c r="A17" s="3" t="s">
        <v>59</v>
      </c>
      <c r="B17" s="13" t="b">
        <f aca="false">ISNUMBER(MATCH(A17,Booking!$A:$A,0))</f>
        <v>1</v>
      </c>
      <c r="C17" s="13" t="b">
        <f aca="false">ISNUMBER(MATCH(A17,Confirmations!$A:$A,0))</f>
        <v>1</v>
      </c>
      <c r="D17" s="3" t="str">
        <f aca="false">IFERROR(INDEX(Booking!$C:$C,MATCH($A17,Booking!$A:$A,0)),"")</f>
        <v>Vale Corporate Treasury</v>
      </c>
      <c r="E17" s="3" t="str">
        <f aca="false">IFERROR(INDEX(Confirmations!$C:$C,MATCH($A17,Confirmations!$A:$A,0)),"")</f>
        <v>Vale Corporate Treasury</v>
      </c>
      <c r="F17" s="14" t="n">
        <f aca="false">IFERROR(INDEX(Booking!$D:$D,MATCH($A17,Booking!$A:$A,0)),"")</f>
        <v>22000000</v>
      </c>
      <c r="G17" s="14" t="n">
        <f aca="false">IFERROR(INDEX(Confirmations!$D:$D,MATCH($A17,Confirmations!$A:$A,0)),"")</f>
        <v>22000000</v>
      </c>
      <c r="H17" s="15" t="n">
        <f aca="false">IFERROR(INDEX(Booking!$E:$E,MATCH($A17,Booking!$A:$A,0)),"")</f>
        <v>4.2445</v>
      </c>
      <c r="I17" s="15" t="n">
        <f aca="false">IFERROR(INDEX(Confirmations!$E:$E,MATCH($A17,Confirmations!$A:$A,0)),"")</f>
        <v>4.2445</v>
      </c>
      <c r="J17" s="3" t="n">
        <f aca="false">IFERROR(INDEX(Booking!$F:$F,MATCH($A17,Booking!$A:$A,0)),"")</f>
        <v>3</v>
      </c>
      <c r="K17" s="3" t="n">
        <f aca="false">IFERROR(INDEX(Confirmations!$F:$F,MATCH($A17,Confirmations!$A:$A,0)),"")</f>
        <v>3</v>
      </c>
      <c r="L17" s="3" t="str">
        <f aca="false">IF(NOT(C17),"Unconfirmed",IF(NOT(B17),"Unbooked",IF(D17&lt;&gt;E17,"Counterparty",IF(ABS(F17-G17)&gt;F17*Rules!$B$4/10000,"Notional",IF(H17&lt;&gt;I17,"Rate or price",IF(J17&lt;&gt;K17,"Value date","Matched"))))))</f>
        <v>Matched</v>
      </c>
      <c r="M17" s="3" t="n">
        <f aca="false">IF(B17,INDEX(Booking!$G:$G,MATCH(A17,Booking!$A:$A,0)),INDEX(Confirmations!$G:$G,MATCH(A17,Confirmations!$A:$A,0)))</f>
        <v>5</v>
      </c>
      <c r="N17" s="13" t="b">
        <f aca="false">AND(L17&lt;&gt;"Matched",M17&gt;Rules!$B$5)</f>
        <v>0</v>
      </c>
      <c r="O17" s="3" t="str">
        <f aca="false">INDEX(Rules!$B$8:$B$14,MATCH(L17,Rules!$A$8:$A$14,0))</f>
        <v>None</v>
      </c>
    </row>
    <row r="18" customFormat="false" ht="15" hidden="false" customHeight="false" outlineLevel="0" collapsed="false">
      <c r="A18" s="3" t="s">
        <v>61</v>
      </c>
      <c r="B18" s="13" t="b">
        <f aca="false">ISNUMBER(MATCH(A18,Booking!$A:$A,0))</f>
        <v>1</v>
      </c>
      <c r="C18" s="13" t="b">
        <f aca="false">ISNUMBER(MATCH(A18,Confirmations!$A:$A,0))</f>
        <v>1</v>
      </c>
      <c r="D18" s="3" t="str">
        <f aca="false">IFERROR(INDEX(Booking!$C:$C,MATCH($A18,Booking!$A:$A,0)),"")</f>
        <v>Kestrel Macro Fund</v>
      </c>
      <c r="E18" s="3" t="str">
        <f aca="false">IFERROR(INDEX(Confirmations!$C:$C,MATCH($A18,Confirmations!$A:$A,0)),"")</f>
        <v>Kestrel Macro Fund</v>
      </c>
      <c r="F18" s="14" t="n">
        <f aca="false">IFERROR(INDEX(Booking!$D:$D,MATCH($A18,Booking!$A:$A,0)),"")</f>
        <v>47000000</v>
      </c>
      <c r="G18" s="14" t="n">
        <f aca="false">IFERROR(INDEX(Confirmations!$D:$D,MATCH($A18,Confirmations!$A:$A,0)),"")</f>
        <v>47000000</v>
      </c>
      <c r="H18" s="15" t="n">
        <f aca="false">IFERROR(INDEX(Booking!$E:$E,MATCH($A18,Booking!$A:$A,0)),"")</f>
        <v>5.5008</v>
      </c>
      <c r="I18" s="15" t="n">
        <f aca="false">IFERROR(INDEX(Confirmations!$E:$E,MATCH($A18,Confirmations!$A:$A,0)),"")</f>
        <v>5.5008</v>
      </c>
      <c r="J18" s="3" t="n">
        <f aca="false">IFERROR(INDEX(Booking!$F:$F,MATCH($A18,Booking!$A:$A,0)),"")</f>
        <v>3</v>
      </c>
      <c r="K18" s="3" t="n">
        <f aca="false">IFERROR(INDEX(Confirmations!$F:$F,MATCH($A18,Confirmations!$A:$A,0)),"")</f>
        <v>3</v>
      </c>
      <c r="L18" s="3" t="str">
        <f aca="false">IF(NOT(C18),"Unconfirmed",IF(NOT(B18),"Unbooked",IF(D18&lt;&gt;E18,"Counterparty",IF(ABS(F18-G18)&gt;F18*Rules!$B$4/10000,"Notional",IF(H18&lt;&gt;I18,"Rate or price",IF(J18&lt;&gt;K18,"Value date","Matched"))))))</f>
        <v>Matched</v>
      </c>
      <c r="M18" s="3" t="n">
        <f aca="false">IF(B18,INDEX(Booking!$G:$G,MATCH(A18,Booking!$A:$A,0)),INDEX(Confirmations!$G:$G,MATCH(A18,Confirmations!$A:$A,0)))</f>
        <v>4</v>
      </c>
      <c r="N18" s="13" t="b">
        <f aca="false">AND(L18&lt;&gt;"Matched",M18&gt;Rules!$B$5)</f>
        <v>0</v>
      </c>
      <c r="O18" s="3" t="str">
        <f aca="false">INDEX(Rules!$B$8:$B$14,MATCH(L18,Rules!$A$8:$A$14,0))</f>
        <v>None</v>
      </c>
    </row>
    <row r="19" customFormat="false" ht="15" hidden="false" customHeight="false" outlineLevel="0" collapsed="false">
      <c r="A19" s="3" t="s">
        <v>62</v>
      </c>
      <c r="B19" s="13" t="b">
        <f aca="false">ISNUMBER(MATCH(A19,Booking!$A:$A,0))</f>
        <v>1</v>
      </c>
      <c r="C19" s="13" t="b">
        <f aca="false">ISNUMBER(MATCH(A19,Confirmations!$A:$A,0))</f>
        <v>1</v>
      </c>
      <c r="D19" s="3" t="str">
        <f aca="false">IFERROR(INDEX(Booking!$C:$C,MATCH($A19,Booking!$A:$A,0)),"")</f>
        <v>Vale Corporate Treasury</v>
      </c>
      <c r="E19" s="3" t="str">
        <f aca="false">IFERROR(INDEX(Confirmations!$C:$C,MATCH($A19,Confirmations!$A:$A,0)),"")</f>
        <v>Vale Corporate Treasury</v>
      </c>
      <c r="F19" s="14" t="n">
        <f aca="false">IFERROR(INDEX(Booking!$D:$D,MATCH($A19,Booking!$A:$A,0)),"")</f>
        <v>34000000</v>
      </c>
      <c r="G19" s="14" t="n">
        <f aca="false">IFERROR(INDEX(Confirmations!$D:$D,MATCH($A19,Confirmations!$A:$A,0)),"")</f>
        <v>34000000</v>
      </c>
      <c r="H19" s="15" t="n">
        <f aca="false">IFERROR(INDEX(Booking!$E:$E,MATCH($A19,Booking!$A:$A,0)),"")</f>
        <v>1.9199</v>
      </c>
      <c r="I19" s="15" t="n">
        <f aca="false">IFERROR(INDEX(Confirmations!$E:$E,MATCH($A19,Confirmations!$A:$A,0)),"")</f>
        <v>1.9099</v>
      </c>
      <c r="J19" s="3" t="n">
        <f aca="false">IFERROR(INDEX(Booking!$F:$F,MATCH($A19,Booking!$A:$A,0)),"")</f>
        <v>2</v>
      </c>
      <c r="K19" s="3" t="n">
        <f aca="false">IFERROR(INDEX(Confirmations!$F:$F,MATCH($A19,Confirmations!$A:$A,0)),"")</f>
        <v>2</v>
      </c>
      <c r="L19" s="3" t="str">
        <f aca="false">IF(NOT(C19),"Unconfirmed",IF(NOT(B19),"Unbooked",IF(D19&lt;&gt;E19,"Counterparty",IF(ABS(F19-G19)&gt;F19*Rules!$B$4/10000,"Notional",IF(H19&lt;&gt;I19,"Rate or price",IF(J19&lt;&gt;K19,"Value date","Matched"))))))</f>
        <v>Rate or price</v>
      </c>
      <c r="M19" s="3" t="n">
        <f aca="false">IF(B19,INDEX(Booking!$G:$G,MATCH(A19,Booking!$A:$A,0)),INDEX(Confirmations!$G:$G,MATCH(A19,Confirmations!$A:$A,0)))</f>
        <v>2</v>
      </c>
      <c r="N19" s="13" t="b">
        <f aca="false">AND(L19&lt;&gt;"Matched",M19&gt;Rules!$B$5)</f>
        <v>0</v>
      </c>
      <c r="O19" s="3" t="str">
        <f aca="false">INDEX(Rules!$B$8:$B$14,MATCH(L19,Rules!$A$8:$A$14,0))</f>
        <v>Middle office: amend booking</v>
      </c>
    </row>
    <row r="20" customFormat="false" ht="15" hidden="false" customHeight="false" outlineLevel="0" collapsed="false">
      <c r="A20" s="3" t="s">
        <v>63</v>
      </c>
      <c r="B20" s="13" t="b">
        <f aca="false">ISNUMBER(MATCH(A20,Booking!$A:$A,0))</f>
        <v>1</v>
      </c>
      <c r="C20" s="13" t="b">
        <f aca="false">ISNUMBER(MATCH(A20,Confirmations!$A:$A,0))</f>
        <v>1</v>
      </c>
      <c r="D20" s="3" t="str">
        <f aca="false">IFERROR(INDEX(Booking!$C:$C,MATCH($A20,Booking!$A:$A,0)),"")</f>
        <v>Vale Corporate Treasury</v>
      </c>
      <c r="E20" s="3" t="str">
        <f aca="false">IFERROR(INDEX(Confirmations!$C:$C,MATCH($A20,Confirmations!$A:$A,0)),"")</f>
        <v>Vale Corporate Treasury</v>
      </c>
      <c r="F20" s="14" t="n">
        <f aca="false">IFERROR(INDEX(Booking!$D:$D,MATCH($A20,Booking!$A:$A,0)),"")</f>
        <v>24000000</v>
      </c>
      <c r="G20" s="14" t="n">
        <f aca="false">IFERROR(INDEX(Confirmations!$D:$D,MATCH($A20,Confirmations!$A:$A,0)),"")</f>
        <v>24000000</v>
      </c>
      <c r="H20" s="15" t="n">
        <f aca="false">IFERROR(INDEX(Booking!$E:$E,MATCH($A20,Booking!$A:$A,0)),"")</f>
        <v>3.3326</v>
      </c>
      <c r="I20" s="15" t="n">
        <f aca="false">IFERROR(INDEX(Confirmations!$E:$E,MATCH($A20,Confirmations!$A:$A,0)),"")</f>
        <v>3.3326</v>
      </c>
      <c r="J20" s="3" t="n">
        <f aca="false">IFERROR(INDEX(Booking!$F:$F,MATCH($A20,Booking!$A:$A,0)),"")</f>
        <v>3</v>
      </c>
      <c r="K20" s="3" t="n">
        <f aca="false">IFERROR(INDEX(Confirmations!$F:$F,MATCH($A20,Confirmations!$A:$A,0)),"")</f>
        <v>3</v>
      </c>
      <c r="L20" s="3" t="str">
        <f aca="false">IF(NOT(C20),"Unconfirmed",IF(NOT(B20),"Unbooked",IF(D20&lt;&gt;E20,"Counterparty",IF(ABS(F20-G20)&gt;F20*Rules!$B$4/10000,"Notional",IF(H20&lt;&gt;I20,"Rate or price",IF(J20&lt;&gt;K20,"Value date","Matched"))))))</f>
        <v>Matched</v>
      </c>
      <c r="M20" s="3" t="n">
        <f aca="false">IF(B20,INDEX(Booking!$G:$G,MATCH(A20,Booking!$A:$A,0)),INDEX(Confirmations!$G:$G,MATCH(A20,Confirmations!$A:$A,0)))</f>
        <v>8</v>
      </c>
      <c r="N20" s="13" t="b">
        <f aca="false">AND(L20&lt;&gt;"Matched",M20&gt;Rules!$B$5)</f>
        <v>0</v>
      </c>
      <c r="O20" s="3" t="str">
        <f aca="false">INDEX(Rules!$B$8:$B$14,MATCH(L20,Rules!$A$8:$A$14,0))</f>
        <v>None</v>
      </c>
    </row>
    <row r="21" customFormat="false" ht="15" hidden="false" customHeight="false" outlineLevel="0" collapsed="false">
      <c r="A21" s="3" t="s">
        <v>64</v>
      </c>
      <c r="B21" s="13" t="b">
        <f aca="false">ISNUMBER(MATCH(A21,Booking!$A:$A,0))</f>
        <v>1</v>
      </c>
      <c r="C21" s="13" t="b">
        <f aca="false">ISNUMBER(MATCH(A21,Confirmations!$A:$A,0))</f>
        <v>1</v>
      </c>
      <c r="D21" s="3" t="str">
        <f aca="false">IFERROR(INDEX(Booking!$C:$C,MATCH($A21,Booking!$A:$A,0)),"")</f>
        <v>Northbay Pension Fund</v>
      </c>
      <c r="E21" s="3" t="str">
        <f aca="false">IFERROR(INDEX(Confirmations!$C:$C,MATCH($A21,Confirmations!$A:$A,0)),"")</f>
        <v>Northbay Pension Fund</v>
      </c>
      <c r="F21" s="14" t="n">
        <f aca="false">IFERROR(INDEX(Booking!$D:$D,MATCH($A21,Booking!$A:$A,0)),"")</f>
        <v>14000000</v>
      </c>
      <c r="G21" s="14" t="n">
        <f aca="false">IFERROR(INDEX(Confirmations!$D:$D,MATCH($A21,Confirmations!$A:$A,0)),"")</f>
        <v>14000000</v>
      </c>
      <c r="H21" s="15" t="n">
        <f aca="false">IFERROR(INDEX(Booking!$E:$E,MATCH($A21,Booking!$A:$A,0)),"")</f>
        <v>2.0824</v>
      </c>
      <c r="I21" s="15" t="n">
        <f aca="false">IFERROR(INDEX(Confirmations!$E:$E,MATCH($A21,Confirmations!$A:$A,0)),"")</f>
        <v>2.0824</v>
      </c>
      <c r="J21" s="3" t="n">
        <f aca="false">IFERROR(INDEX(Booking!$F:$F,MATCH($A21,Booking!$A:$A,0)),"")</f>
        <v>1</v>
      </c>
      <c r="K21" s="3" t="n">
        <f aca="false">IFERROR(INDEX(Confirmations!$F:$F,MATCH($A21,Confirmations!$A:$A,0)),"")</f>
        <v>1</v>
      </c>
      <c r="L21" s="3" t="str">
        <f aca="false">IF(NOT(C21),"Unconfirmed",IF(NOT(B21),"Unbooked",IF(D21&lt;&gt;E21,"Counterparty",IF(ABS(F21-G21)&gt;F21*Rules!$B$4/10000,"Notional",IF(H21&lt;&gt;I21,"Rate or price",IF(J21&lt;&gt;K21,"Value date","Matched"))))))</f>
        <v>Matched</v>
      </c>
      <c r="M21" s="3" t="n">
        <f aca="false">IF(B21,INDEX(Booking!$G:$G,MATCH(A21,Booking!$A:$A,0)),INDEX(Confirmations!$G:$G,MATCH(A21,Confirmations!$A:$A,0)))</f>
        <v>3</v>
      </c>
      <c r="N21" s="13" t="b">
        <f aca="false">AND(L21&lt;&gt;"Matched",M21&gt;Rules!$B$5)</f>
        <v>0</v>
      </c>
      <c r="O21" s="3" t="str">
        <f aca="false">INDEX(Rules!$B$8:$B$14,MATCH(L21,Rules!$A$8:$A$14,0))</f>
        <v>None</v>
      </c>
    </row>
    <row r="22" customFormat="false" ht="15" hidden="false" customHeight="false" outlineLevel="0" collapsed="false">
      <c r="A22" s="3" t="s">
        <v>65</v>
      </c>
      <c r="B22" s="13" t="b">
        <f aca="false">ISNUMBER(MATCH(A22,Booking!$A:$A,0))</f>
        <v>1</v>
      </c>
      <c r="C22" s="13" t="b">
        <f aca="false">ISNUMBER(MATCH(A22,Confirmations!$A:$A,0))</f>
        <v>1</v>
      </c>
      <c r="D22" s="3" t="str">
        <f aca="false">IFERROR(INDEX(Booking!$C:$C,MATCH($A22,Booking!$A:$A,0)),"")</f>
        <v>Harbour Insurance</v>
      </c>
      <c r="E22" s="3" t="str">
        <f aca="false">IFERROR(INDEX(Confirmations!$C:$C,MATCH($A22,Confirmations!$A:$A,0)),"")</f>
        <v>Harbour Insurance</v>
      </c>
      <c r="F22" s="14" t="n">
        <f aca="false">IFERROR(INDEX(Booking!$D:$D,MATCH($A22,Booking!$A:$A,0)),"")</f>
        <v>22000000</v>
      </c>
      <c r="G22" s="14" t="n">
        <f aca="false">IFERROR(INDEX(Confirmations!$D:$D,MATCH($A22,Confirmations!$A:$A,0)),"")</f>
        <v>22000000</v>
      </c>
      <c r="H22" s="15" t="n">
        <f aca="false">IFERROR(INDEX(Booking!$E:$E,MATCH($A22,Booking!$A:$A,0)),"")</f>
        <v>3.9825</v>
      </c>
      <c r="I22" s="15" t="n">
        <f aca="false">IFERROR(INDEX(Confirmations!$E:$E,MATCH($A22,Confirmations!$A:$A,0)),"")</f>
        <v>3.9825</v>
      </c>
      <c r="J22" s="3" t="n">
        <f aca="false">IFERROR(INDEX(Booking!$F:$F,MATCH($A22,Booking!$A:$A,0)),"")</f>
        <v>1</v>
      </c>
      <c r="K22" s="3" t="n">
        <f aca="false">IFERROR(INDEX(Confirmations!$F:$F,MATCH($A22,Confirmations!$A:$A,0)),"")</f>
        <v>1</v>
      </c>
      <c r="L22" s="3" t="str">
        <f aca="false">IF(NOT(C22),"Unconfirmed",IF(NOT(B22),"Unbooked",IF(D22&lt;&gt;E22,"Counterparty",IF(ABS(F22-G22)&gt;F22*Rules!$B$4/10000,"Notional",IF(H22&lt;&gt;I22,"Rate or price",IF(J22&lt;&gt;K22,"Value date","Matched"))))))</f>
        <v>Matched</v>
      </c>
      <c r="M22" s="3" t="n">
        <f aca="false">IF(B22,INDEX(Booking!$G:$G,MATCH(A22,Booking!$A:$A,0)),INDEX(Confirmations!$G:$G,MATCH(A22,Confirmations!$A:$A,0)))</f>
        <v>4</v>
      </c>
      <c r="N22" s="13" t="b">
        <f aca="false">AND(L22&lt;&gt;"Matched",M22&gt;Rules!$B$5)</f>
        <v>0</v>
      </c>
      <c r="O22" s="3" t="str">
        <f aca="false">INDEX(Rules!$B$8:$B$14,MATCH(L22,Rules!$A$8:$A$14,0))</f>
        <v>None</v>
      </c>
    </row>
    <row r="23" customFormat="false" ht="15" hidden="false" customHeight="false" outlineLevel="0" collapsed="false">
      <c r="A23" s="3" t="s">
        <v>67</v>
      </c>
      <c r="B23" s="13" t="b">
        <f aca="false">ISNUMBER(MATCH(A23,Booking!$A:$A,0))</f>
        <v>1</v>
      </c>
      <c r="C23" s="13" t="b">
        <f aca="false">ISNUMBER(MATCH(A23,Confirmations!$A:$A,0))</f>
        <v>1</v>
      </c>
      <c r="D23" s="3" t="str">
        <f aca="false">IFERROR(INDEX(Booking!$C:$C,MATCH($A23,Booking!$A:$A,0)),"")</f>
        <v>Aldridge Capital</v>
      </c>
      <c r="E23" s="3" t="str">
        <f aca="false">IFERROR(INDEX(Confirmations!$C:$C,MATCH($A23,Confirmations!$A:$A,0)),"")</f>
        <v>Aldridge Capital</v>
      </c>
      <c r="F23" s="14" t="n">
        <f aca="false">IFERROR(INDEX(Booking!$D:$D,MATCH($A23,Booking!$A:$A,0)),"")</f>
        <v>5000000</v>
      </c>
      <c r="G23" s="14" t="n">
        <f aca="false">IFERROR(INDEX(Confirmations!$D:$D,MATCH($A23,Confirmations!$A:$A,0)),"")</f>
        <v>5000000</v>
      </c>
      <c r="H23" s="15" t="n">
        <f aca="false">IFERROR(INDEX(Booking!$E:$E,MATCH($A23,Booking!$A:$A,0)),"")</f>
        <v>1.3644</v>
      </c>
      <c r="I23" s="15" t="n">
        <f aca="false">IFERROR(INDEX(Confirmations!$E:$E,MATCH($A23,Confirmations!$A:$A,0)),"")</f>
        <v>1.3644</v>
      </c>
      <c r="J23" s="3" t="n">
        <f aca="false">IFERROR(INDEX(Booking!$F:$F,MATCH($A23,Booking!$A:$A,0)),"")</f>
        <v>2</v>
      </c>
      <c r="K23" s="3" t="n">
        <f aca="false">IFERROR(INDEX(Confirmations!$F:$F,MATCH($A23,Confirmations!$A:$A,0)),"")</f>
        <v>2</v>
      </c>
      <c r="L23" s="3" t="str">
        <f aca="false">IF(NOT(C23),"Unconfirmed",IF(NOT(B23),"Unbooked",IF(D23&lt;&gt;E23,"Counterparty",IF(ABS(F23-G23)&gt;F23*Rules!$B$4/10000,"Notional",IF(H23&lt;&gt;I23,"Rate or price",IF(J23&lt;&gt;K23,"Value date","Matched"))))))</f>
        <v>Matched</v>
      </c>
      <c r="M23" s="3" t="n">
        <f aca="false">IF(B23,INDEX(Booking!$G:$G,MATCH(A23,Booking!$A:$A,0)),INDEX(Confirmations!$G:$G,MATCH(A23,Confirmations!$A:$A,0)))</f>
        <v>4</v>
      </c>
      <c r="N23" s="13" t="b">
        <f aca="false">AND(L23&lt;&gt;"Matched",M23&gt;Rules!$B$5)</f>
        <v>0</v>
      </c>
      <c r="O23" s="3" t="str">
        <f aca="false">INDEX(Rules!$B$8:$B$14,MATCH(L23,Rules!$A$8:$A$14,0))</f>
        <v>None</v>
      </c>
    </row>
    <row r="24" customFormat="false" ht="15" hidden="false" customHeight="false" outlineLevel="0" collapsed="false">
      <c r="A24" s="3" t="s">
        <v>68</v>
      </c>
      <c r="B24" s="13" t="b">
        <f aca="false">ISNUMBER(MATCH(A24,Booking!$A:$A,0))</f>
        <v>1</v>
      </c>
      <c r="C24" s="13" t="b">
        <f aca="false">ISNUMBER(MATCH(A24,Confirmations!$A:$A,0))</f>
        <v>1</v>
      </c>
      <c r="D24" s="3" t="str">
        <f aca="false">IFERROR(INDEX(Booking!$C:$C,MATCH($A24,Booking!$A:$A,0)),"")</f>
        <v>Kestrel Macro Fund</v>
      </c>
      <c r="E24" s="3" t="str">
        <f aca="false">IFERROR(INDEX(Confirmations!$C:$C,MATCH($A24,Confirmations!$A:$A,0)),"")</f>
        <v>Kestrel Macro Fund</v>
      </c>
      <c r="F24" s="14" t="n">
        <f aca="false">IFERROR(INDEX(Booking!$D:$D,MATCH($A24,Booking!$A:$A,0)),"")</f>
        <v>44000000</v>
      </c>
      <c r="G24" s="14" t="n">
        <f aca="false">IFERROR(INDEX(Confirmations!$D:$D,MATCH($A24,Confirmations!$A:$A,0)),"")</f>
        <v>44000000</v>
      </c>
      <c r="H24" s="15" t="n">
        <f aca="false">IFERROR(INDEX(Booking!$E:$E,MATCH($A24,Booking!$A:$A,0)),"")</f>
        <v>4.302</v>
      </c>
      <c r="I24" s="15" t="n">
        <f aca="false">IFERROR(INDEX(Confirmations!$E:$E,MATCH($A24,Confirmations!$A:$A,0)),"")</f>
        <v>4.302</v>
      </c>
      <c r="J24" s="3" t="n">
        <f aca="false">IFERROR(INDEX(Booking!$F:$F,MATCH($A24,Booking!$A:$A,0)),"")</f>
        <v>3</v>
      </c>
      <c r="K24" s="3" t="n">
        <f aca="false">IFERROR(INDEX(Confirmations!$F:$F,MATCH($A24,Confirmations!$A:$A,0)),"")</f>
        <v>3</v>
      </c>
      <c r="L24" s="3" t="str">
        <f aca="false">IF(NOT(C24),"Unconfirmed",IF(NOT(B24),"Unbooked",IF(D24&lt;&gt;E24,"Counterparty",IF(ABS(F24-G24)&gt;F24*Rules!$B$4/10000,"Notional",IF(H24&lt;&gt;I24,"Rate or price",IF(J24&lt;&gt;K24,"Value date","Matched"))))))</f>
        <v>Matched</v>
      </c>
      <c r="M24" s="3" t="n">
        <f aca="false">IF(B24,INDEX(Booking!$G:$G,MATCH(A24,Booking!$A:$A,0)),INDEX(Confirmations!$G:$G,MATCH(A24,Confirmations!$A:$A,0)))</f>
        <v>0</v>
      </c>
      <c r="N24" s="13" t="b">
        <f aca="false">AND(L24&lt;&gt;"Matched",M24&gt;Rules!$B$5)</f>
        <v>0</v>
      </c>
      <c r="O24" s="3" t="str">
        <f aca="false">INDEX(Rules!$B$8:$B$14,MATCH(L24,Rules!$A$8:$A$14,0))</f>
        <v>None</v>
      </c>
    </row>
    <row r="25" customFormat="false" ht="15" hidden="false" customHeight="false" outlineLevel="0" collapsed="false">
      <c r="A25" s="3" t="s">
        <v>69</v>
      </c>
      <c r="B25" s="13" t="b">
        <f aca="false">ISNUMBER(MATCH(A25,Booking!$A:$A,0))</f>
        <v>1</v>
      </c>
      <c r="C25" s="13" t="b">
        <f aca="false">ISNUMBER(MATCH(A25,Confirmations!$A:$A,0))</f>
        <v>1</v>
      </c>
      <c r="D25" s="3" t="str">
        <f aca="false">IFERROR(INDEX(Booking!$C:$C,MATCH($A25,Booking!$A:$A,0)),"")</f>
        <v>Solent Asset Management</v>
      </c>
      <c r="E25" s="3" t="str">
        <f aca="false">IFERROR(INDEX(Confirmations!$C:$C,MATCH($A25,Confirmations!$A:$A,0)),"")</f>
        <v>Solent Asset Management</v>
      </c>
      <c r="F25" s="14" t="n">
        <f aca="false">IFERROR(INDEX(Booking!$D:$D,MATCH($A25,Booking!$A:$A,0)),"")</f>
        <v>4000000</v>
      </c>
      <c r="G25" s="14" t="n">
        <f aca="false">IFERROR(INDEX(Confirmations!$D:$D,MATCH($A25,Confirmations!$A:$A,0)),"")</f>
        <v>4000000</v>
      </c>
      <c r="H25" s="15" t="n">
        <f aca="false">IFERROR(INDEX(Booking!$E:$E,MATCH($A25,Booking!$A:$A,0)),"")</f>
        <v>4.9301</v>
      </c>
      <c r="I25" s="15" t="n">
        <f aca="false">IFERROR(INDEX(Confirmations!$E:$E,MATCH($A25,Confirmations!$A:$A,0)),"")</f>
        <v>4.9301</v>
      </c>
      <c r="J25" s="3" t="n">
        <f aca="false">IFERROR(INDEX(Booking!$F:$F,MATCH($A25,Booking!$A:$A,0)),"")</f>
        <v>3</v>
      </c>
      <c r="K25" s="3" t="n">
        <f aca="false">IFERROR(INDEX(Confirmations!$F:$F,MATCH($A25,Confirmations!$A:$A,0)),"")</f>
        <v>3</v>
      </c>
      <c r="L25" s="3" t="str">
        <f aca="false">IF(NOT(C25),"Unconfirmed",IF(NOT(B25),"Unbooked",IF(D25&lt;&gt;E25,"Counterparty",IF(ABS(F25-G25)&gt;F25*Rules!$B$4/10000,"Notional",IF(H25&lt;&gt;I25,"Rate or price",IF(J25&lt;&gt;K25,"Value date","Matched"))))))</f>
        <v>Matched</v>
      </c>
      <c r="M25" s="3" t="n">
        <f aca="false">IF(B25,INDEX(Booking!$G:$G,MATCH(A25,Booking!$A:$A,0)),INDEX(Confirmations!$G:$G,MATCH(A25,Confirmations!$A:$A,0)))</f>
        <v>1</v>
      </c>
      <c r="N25" s="13" t="b">
        <f aca="false">AND(L25&lt;&gt;"Matched",M25&gt;Rules!$B$5)</f>
        <v>0</v>
      </c>
      <c r="O25" s="3" t="str">
        <f aca="false">INDEX(Rules!$B$8:$B$14,MATCH(L25,Rules!$A$8:$A$14,0))</f>
        <v>None</v>
      </c>
    </row>
    <row r="26" customFormat="false" ht="15" hidden="false" customHeight="false" outlineLevel="0" collapsed="false">
      <c r="A26" s="3" t="s">
        <v>70</v>
      </c>
      <c r="B26" s="13" t="b">
        <f aca="false">ISNUMBER(MATCH(A26,Booking!$A:$A,0))</f>
        <v>1</v>
      </c>
      <c r="C26" s="13" t="b">
        <f aca="false">ISNUMBER(MATCH(A26,Confirmations!$A:$A,0))</f>
        <v>1</v>
      </c>
      <c r="D26" s="3" t="str">
        <f aca="false">IFERROR(INDEX(Booking!$C:$C,MATCH($A26,Booking!$A:$A,0)),"")</f>
        <v>Harbour Insurance</v>
      </c>
      <c r="E26" s="3" t="str">
        <f aca="false">IFERROR(INDEX(Confirmations!$C:$C,MATCH($A26,Confirmations!$A:$A,0)),"")</f>
        <v>Harbour Insurance</v>
      </c>
      <c r="F26" s="14" t="n">
        <f aca="false">IFERROR(INDEX(Booking!$D:$D,MATCH($A26,Booking!$A:$A,0)),"")</f>
        <v>37000000</v>
      </c>
      <c r="G26" s="14" t="n">
        <f aca="false">IFERROR(INDEX(Confirmations!$D:$D,MATCH($A26,Confirmations!$A:$A,0)),"")</f>
        <v>37000000</v>
      </c>
      <c r="H26" s="15" t="n">
        <f aca="false">IFERROR(INDEX(Booking!$E:$E,MATCH($A26,Booking!$A:$A,0)),"")</f>
        <v>4.1378</v>
      </c>
      <c r="I26" s="15" t="n">
        <f aca="false">IFERROR(INDEX(Confirmations!$E:$E,MATCH($A26,Confirmations!$A:$A,0)),"")</f>
        <v>4.1378</v>
      </c>
      <c r="J26" s="3" t="n">
        <f aca="false">IFERROR(INDEX(Booking!$F:$F,MATCH($A26,Booking!$A:$A,0)),"")</f>
        <v>3</v>
      </c>
      <c r="K26" s="3" t="n">
        <f aca="false">IFERROR(INDEX(Confirmations!$F:$F,MATCH($A26,Confirmations!$A:$A,0)),"")</f>
        <v>3</v>
      </c>
      <c r="L26" s="3" t="str">
        <f aca="false">IF(NOT(C26),"Unconfirmed",IF(NOT(B26),"Unbooked",IF(D26&lt;&gt;E26,"Counterparty",IF(ABS(F26-G26)&gt;F26*Rules!$B$4/10000,"Notional",IF(H26&lt;&gt;I26,"Rate or price",IF(J26&lt;&gt;K26,"Value date","Matched"))))))</f>
        <v>Matched</v>
      </c>
      <c r="M26" s="3" t="n">
        <f aca="false">IF(B26,INDEX(Booking!$G:$G,MATCH(A26,Booking!$A:$A,0)),INDEX(Confirmations!$G:$G,MATCH(A26,Confirmations!$A:$A,0)))</f>
        <v>5</v>
      </c>
      <c r="N26" s="13" t="b">
        <f aca="false">AND(L26&lt;&gt;"Matched",M26&gt;Rules!$B$5)</f>
        <v>0</v>
      </c>
      <c r="O26" s="3" t="str">
        <f aca="false">INDEX(Rules!$B$8:$B$14,MATCH(L26,Rules!$A$8:$A$14,0))</f>
        <v>None</v>
      </c>
    </row>
    <row r="27" customFormat="false" ht="15" hidden="false" customHeight="false" outlineLevel="0" collapsed="false">
      <c r="A27" s="3" t="s">
        <v>71</v>
      </c>
      <c r="B27" s="13" t="b">
        <f aca="false">ISNUMBER(MATCH(A27,Booking!$A:$A,0))</f>
        <v>1</v>
      </c>
      <c r="C27" s="13" t="b">
        <f aca="false">ISNUMBER(MATCH(A27,Confirmations!$A:$A,0))</f>
        <v>1</v>
      </c>
      <c r="D27" s="3" t="str">
        <f aca="false">IFERROR(INDEX(Booking!$C:$C,MATCH($A27,Booking!$A:$A,0)),"")</f>
        <v>Vale Corporate Treasury</v>
      </c>
      <c r="E27" s="3" t="str">
        <f aca="false">IFERROR(INDEX(Confirmations!$C:$C,MATCH($A27,Confirmations!$A:$A,0)),"")</f>
        <v>Vale Corporate Treasury</v>
      </c>
      <c r="F27" s="14" t="n">
        <f aca="false">IFERROR(INDEX(Booking!$D:$D,MATCH($A27,Booking!$A:$A,0)),"")</f>
        <v>14000000</v>
      </c>
      <c r="G27" s="14" t="n">
        <f aca="false">IFERROR(INDEX(Confirmations!$D:$D,MATCH($A27,Confirmations!$A:$A,0)),"")</f>
        <v>14000000</v>
      </c>
      <c r="H27" s="15" t="n">
        <f aca="false">IFERROR(INDEX(Booking!$E:$E,MATCH($A27,Booking!$A:$A,0)),"")</f>
        <v>2.3667</v>
      </c>
      <c r="I27" s="15" t="n">
        <f aca="false">IFERROR(INDEX(Confirmations!$E:$E,MATCH($A27,Confirmations!$A:$A,0)),"")</f>
        <v>2.3667</v>
      </c>
      <c r="J27" s="3" t="n">
        <f aca="false">IFERROR(INDEX(Booking!$F:$F,MATCH($A27,Booking!$A:$A,0)),"")</f>
        <v>2</v>
      </c>
      <c r="K27" s="3" t="n">
        <f aca="false">IFERROR(INDEX(Confirmations!$F:$F,MATCH($A27,Confirmations!$A:$A,0)),"")</f>
        <v>2</v>
      </c>
      <c r="L27" s="3" t="str">
        <f aca="false">IF(NOT(C27),"Unconfirmed",IF(NOT(B27),"Unbooked",IF(D27&lt;&gt;E27,"Counterparty",IF(ABS(F27-G27)&gt;F27*Rules!$B$4/10000,"Notional",IF(H27&lt;&gt;I27,"Rate or price",IF(J27&lt;&gt;K27,"Value date","Matched"))))))</f>
        <v>Matched</v>
      </c>
      <c r="M27" s="3" t="n">
        <f aca="false">IF(B27,INDEX(Booking!$G:$G,MATCH(A27,Booking!$A:$A,0)),INDEX(Confirmations!$G:$G,MATCH(A27,Confirmations!$A:$A,0)))</f>
        <v>4</v>
      </c>
      <c r="N27" s="13" t="b">
        <f aca="false">AND(L27&lt;&gt;"Matched",M27&gt;Rules!$B$5)</f>
        <v>0</v>
      </c>
      <c r="O27" s="3" t="str">
        <f aca="false">INDEX(Rules!$B$8:$B$14,MATCH(L27,Rules!$A$8:$A$14,0))</f>
        <v>None</v>
      </c>
    </row>
    <row r="28" customFormat="false" ht="15" hidden="false" customHeight="false" outlineLevel="0" collapsed="false">
      <c r="A28" s="3" t="s">
        <v>72</v>
      </c>
      <c r="B28" s="13" t="b">
        <f aca="false">ISNUMBER(MATCH(A28,Booking!$A:$A,0))</f>
        <v>1</v>
      </c>
      <c r="C28" s="13" t="b">
        <f aca="false">ISNUMBER(MATCH(A28,Confirmations!$A:$A,0))</f>
        <v>1</v>
      </c>
      <c r="D28" s="3" t="str">
        <f aca="false">IFERROR(INDEX(Booking!$C:$C,MATCH($A28,Booking!$A:$A,0)),"")</f>
        <v>Tarn Energy Trading</v>
      </c>
      <c r="E28" s="3" t="str">
        <f aca="false">IFERROR(INDEX(Confirmations!$C:$C,MATCH($A28,Confirmations!$A:$A,0)),"")</f>
        <v>Tarn Energy Trading</v>
      </c>
      <c r="F28" s="14" t="n">
        <f aca="false">IFERROR(INDEX(Booking!$D:$D,MATCH($A28,Booking!$A:$A,0)),"")</f>
        <v>36000000</v>
      </c>
      <c r="G28" s="14" t="n">
        <f aca="false">IFERROR(INDEX(Confirmations!$D:$D,MATCH($A28,Confirmations!$A:$A,0)),"")</f>
        <v>36000000</v>
      </c>
      <c r="H28" s="15" t="n">
        <f aca="false">IFERROR(INDEX(Booking!$E:$E,MATCH($A28,Booking!$A:$A,0)),"")</f>
        <v>6.932</v>
      </c>
      <c r="I28" s="15" t="n">
        <f aca="false">IFERROR(INDEX(Confirmations!$E:$E,MATCH($A28,Confirmations!$A:$A,0)),"")</f>
        <v>6.932</v>
      </c>
      <c r="J28" s="3" t="n">
        <f aca="false">IFERROR(INDEX(Booking!$F:$F,MATCH($A28,Booking!$A:$A,0)),"")</f>
        <v>1</v>
      </c>
      <c r="K28" s="3" t="n">
        <f aca="false">IFERROR(INDEX(Confirmations!$F:$F,MATCH($A28,Confirmations!$A:$A,0)),"")</f>
        <v>1</v>
      </c>
      <c r="L28" s="3" t="str">
        <f aca="false">IF(NOT(C28),"Unconfirmed",IF(NOT(B28),"Unbooked",IF(D28&lt;&gt;E28,"Counterparty",IF(ABS(F28-G28)&gt;F28*Rules!$B$4/10000,"Notional",IF(H28&lt;&gt;I28,"Rate or price",IF(J28&lt;&gt;K28,"Value date","Matched"))))))</f>
        <v>Matched</v>
      </c>
      <c r="M28" s="3" t="n">
        <f aca="false">IF(B28,INDEX(Booking!$G:$G,MATCH(A28,Booking!$A:$A,0)),INDEX(Confirmations!$G:$G,MATCH(A28,Confirmations!$A:$A,0)))</f>
        <v>0</v>
      </c>
      <c r="N28" s="13" t="b">
        <f aca="false">AND(L28&lt;&gt;"Matched",M28&gt;Rules!$B$5)</f>
        <v>0</v>
      </c>
      <c r="O28" s="3" t="str">
        <f aca="false">INDEX(Rules!$B$8:$B$14,MATCH(L28,Rules!$A$8:$A$14,0))</f>
        <v>None</v>
      </c>
    </row>
    <row r="29" customFormat="false" ht="15" hidden="false" customHeight="false" outlineLevel="0" collapsed="false">
      <c r="A29" s="3" t="s">
        <v>73</v>
      </c>
      <c r="B29" s="13" t="b">
        <f aca="false">ISNUMBER(MATCH(A29,Booking!$A:$A,0))</f>
        <v>1</v>
      </c>
      <c r="C29" s="13" t="b">
        <f aca="false">ISNUMBER(MATCH(A29,Confirmations!$A:$A,0))</f>
        <v>1</v>
      </c>
      <c r="D29" s="3" t="str">
        <f aca="false">IFERROR(INDEX(Booking!$C:$C,MATCH($A29,Booking!$A:$A,0)),"")</f>
        <v>Harbour Insurance</v>
      </c>
      <c r="E29" s="3" t="str">
        <f aca="false">IFERROR(INDEX(Confirmations!$C:$C,MATCH($A29,Confirmations!$A:$A,0)),"")</f>
        <v>Harbour Insurance</v>
      </c>
      <c r="F29" s="14" t="n">
        <f aca="false">IFERROR(INDEX(Booking!$D:$D,MATCH($A29,Booking!$A:$A,0)),"")</f>
        <v>18000000</v>
      </c>
      <c r="G29" s="14" t="n">
        <f aca="false">IFERROR(INDEX(Confirmations!$D:$D,MATCH($A29,Confirmations!$A:$A,0)),"")</f>
        <v>18000000</v>
      </c>
      <c r="H29" s="15" t="n">
        <f aca="false">IFERROR(INDEX(Booking!$E:$E,MATCH($A29,Booking!$A:$A,0)),"")</f>
        <v>4.1162</v>
      </c>
      <c r="I29" s="15" t="n">
        <f aca="false">IFERROR(INDEX(Confirmations!$E:$E,MATCH($A29,Confirmations!$A:$A,0)),"")</f>
        <v>4.1162</v>
      </c>
      <c r="J29" s="3" t="n">
        <f aca="false">IFERROR(INDEX(Booking!$F:$F,MATCH($A29,Booking!$A:$A,0)),"")</f>
        <v>1</v>
      </c>
      <c r="K29" s="3" t="n">
        <f aca="false">IFERROR(INDEX(Confirmations!$F:$F,MATCH($A29,Confirmations!$A:$A,0)),"")</f>
        <v>1</v>
      </c>
      <c r="L29" s="3" t="str">
        <f aca="false">IF(NOT(C29),"Unconfirmed",IF(NOT(B29),"Unbooked",IF(D29&lt;&gt;E29,"Counterparty",IF(ABS(F29-G29)&gt;F29*Rules!$B$4/10000,"Notional",IF(H29&lt;&gt;I29,"Rate or price",IF(J29&lt;&gt;K29,"Value date","Matched"))))))</f>
        <v>Matched</v>
      </c>
      <c r="M29" s="3" t="n">
        <f aca="false">IF(B29,INDEX(Booking!$G:$G,MATCH(A29,Booking!$A:$A,0)),INDEX(Confirmations!$G:$G,MATCH(A29,Confirmations!$A:$A,0)))</f>
        <v>0</v>
      </c>
      <c r="N29" s="13" t="b">
        <f aca="false">AND(L29&lt;&gt;"Matched",M29&gt;Rules!$B$5)</f>
        <v>0</v>
      </c>
      <c r="O29" s="3" t="str">
        <f aca="false">INDEX(Rules!$B$8:$B$14,MATCH(L29,Rules!$A$8:$A$14,0))</f>
        <v>None</v>
      </c>
    </row>
    <row r="30" customFormat="false" ht="15" hidden="false" customHeight="false" outlineLevel="0" collapsed="false">
      <c r="A30" s="3" t="s">
        <v>74</v>
      </c>
      <c r="B30" s="13" t="b">
        <f aca="false">ISNUMBER(MATCH(A30,Booking!$A:$A,0))</f>
        <v>1</v>
      </c>
      <c r="C30" s="13" t="b">
        <f aca="false">ISNUMBER(MATCH(A30,Confirmations!$A:$A,0))</f>
        <v>1</v>
      </c>
      <c r="D30" s="3" t="str">
        <f aca="false">IFERROR(INDEX(Booking!$C:$C,MATCH($A30,Booking!$A:$A,0)),"")</f>
        <v>Aldridge Capital</v>
      </c>
      <c r="E30" s="3" t="str">
        <f aca="false">IFERROR(INDEX(Confirmations!$C:$C,MATCH($A30,Confirmations!$A:$A,0)),"")</f>
        <v>Aldridge Capital</v>
      </c>
      <c r="F30" s="14" t="n">
        <f aca="false">IFERROR(INDEX(Booking!$D:$D,MATCH($A30,Booking!$A:$A,0)),"")</f>
        <v>39000000</v>
      </c>
      <c r="G30" s="14" t="n">
        <f aca="false">IFERROR(INDEX(Confirmations!$D:$D,MATCH($A30,Confirmations!$A:$A,0)),"")</f>
        <v>39000000</v>
      </c>
      <c r="H30" s="15" t="n">
        <f aca="false">IFERROR(INDEX(Booking!$E:$E,MATCH($A30,Booking!$A:$A,0)),"")</f>
        <v>1.6411</v>
      </c>
      <c r="I30" s="15" t="n">
        <f aca="false">IFERROR(INDEX(Confirmations!$E:$E,MATCH($A30,Confirmations!$A:$A,0)),"")</f>
        <v>1.6411</v>
      </c>
      <c r="J30" s="3" t="n">
        <f aca="false">IFERROR(INDEX(Booking!$F:$F,MATCH($A30,Booking!$A:$A,0)),"")</f>
        <v>2</v>
      </c>
      <c r="K30" s="3" t="n">
        <f aca="false">IFERROR(INDEX(Confirmations!$F:$F,MATCH($A30,Confirmations!$A:$A,0)),"")</f>
        <v>2</v>
      </c>
      <c r="L30" s="3" t="str">
        <f aca="false">IF(NOT(C30),"Unconfirmed",IF(NOT(B30),"Unbooked",IF(D30&lt;&gt;E30,"Counterparty",IF(ABS(F30-G30)&gt;F30*Rules!$B$4/10000,"Notional",IF(H30&lt;&gt;I30,"Rate or price",IF(J30&lt;&gt;K30,"Value date","Matched"))))))</f>
        <v>Matched</v>
      </c>
      <c r="M30" s="3" t="n">
        <f aca="false">IF(B30,INDEX(Booking!$G:$G,MATCH(A30,Booking!$A:$A,0)),INDEX(Confirmations!$G:$G,MATCH(A30,Confirmations!$A:$A,0)))</f>
        <v>3</v>
      </c>
      <c r="N30" s="13" t="b">
        <f aca="false">AND(L30&lt;&gt;"Matched",M30&gt;Rules!$B$5)</f>
        <v>0</v>
      </c>
      <c r="O30" s="3" t="str">
        <f aca="false">INDEX(Rules!$B$8:$B$14,MATCH(L30,Rules!$A$8:$A$14,0))</f>
        <v>None</v>
      </c>
    </row>
    <row r="31" customFormat="false" ht="15" hidden="false" customHeight="false" outlineLevel="0" collapsed="false">
      <c r="A31" s="3" t="s">
        <v>75</v>
      </c>
      <c r="B31" s="13" t="b">
        <f aca="false">ISNUMBER(MATCH(A31,Booking!$A:$A,0))</f>
        <v>1</v>
      </c>
      <c r="C31" s="13" t="b">
        <f aca="false">ISNUMBER(MATCH(A31,Confirmations!$A:$A,0))</f>
        <v>1</v>
      </c>
      <c r="D31" s="3" t="str">
        <f aca="false">IFERROR(INDEX(Booking!$C:$C,MATCH($A31,Booking!$A:$A,0)),"")</f>
        <v>Harbour Insurance</v>
      </c>
      <c r="E31" s="3" t="str">
        <f aca="false">IFERROR(INDEX(Confirmations!$C:$C,MATCH($A31,Confirmations!$A:$A,0)),"")</f>
        <v>Harbour Insurance</v>
      </c>
      <c r="F31" s="14" t="n">
        <f aca="false">IFERROR(INDEX(Booking!$D:$D,MATCH($A31,Booking!$A:$A,0)),"")</f>
        <v>33000000</v>
      </c>
      <c r="G31" s="14" t="n">
        <f aca="false">IFERROR(INDEX(Confirmations!$D:$D,MATCH($A31,Confirmations!$A:$A,0)),"")</f>
        <v>33000000</v>
      </c>
      <c r="H31" s="15" t="n">
        <f aca="false">IFERROR(INDEX(Booking!$E:$E,MATCH($A31,Booking!$A:$A,0)),"")</f>
        <v>5.4733</v>
      </c>
      <c r="I31" s="15" t="n">
        <f aca="false">IFERROR(INDEX(Confirmations!$E:$E,MATCH($A31,Confirmations!$A:$A,0)),"")</f>
        <v>5.4633</v>
      </c>
      <c r="J31" s="3" t="n">
        <f aca="false">IFERROR(INDEX(Booking!$F:$F,MATCH($A31,Booking!$A:$A,0)),"")</f>
        <v>2</v>
      </c>
      <c r="K31" s="3" t="n">
        <f aca="false">IFERROR(INDEX(Confirmations!$F:$F,MATCH($A31,Confirmations!$A:$A,0)),"")</f>
        <v>2</v>
      </c>
      <c r="L31" s="3" t="str">
        <f aca="false">IF(NOT(C31),"Unconfirmed",IF(NOT(B31),"Unbooked",IF(D31&lt;&gt;E31,"Counterparty",IF(ABS(F31-G31)&gt;F31*Rules!$B$4/10000,"Notional",IF(H31&lt;&gt;I31,"Rate or price",IF(J31&lt;&gt;K31,"Value date","Matched"))))))</f>
        <v>Rate or price</v>
      </c>
      <c r="M31" s="3" t="n">
        <f aca="false">IF(B31,INDEX(Booking!$G:$G,MATCH(A31,Booking!$A:$A,0)),INDEX(Confirmations!$G:$G,MATCH(A31,Confirmations!$A:$A,0)))</f>
        <v>1</v>
      </c>
      <c r="N31" s="13" t="b">
        <f aca="false">AND(L31&lt;&gt;"Matched",M31&gt;Rules!$B$5)</f>
        <v>0</v>
      </c>
      <c r="O31" s="3" t="str">
        <f aca="false">INDEX(Rules!$B$8:$B$14,MATCH(L31,Rules!$A$8:$A$14,0))</f>
        <v>Middle office: amend booking</v>
      </c>
    </row>
    <row r="32" customFormat="false" ht="15" hidden="false" customHeight="false" outlineLevel="0" collapsed="false">
      <c r="A32" s="3" t="s">
        <v>76</v>
      </c>
      <c r="B32" s="13" t="b">
        <f aca="false">ISNUMBER(MATCH(A32,Booking!$A:$A,0))</f>
        <v>1</v>
      </c>
      <c r="C32" s="13" t="b">
        <f aca="false">ISNUMBER(MATCH(A32,Confirmations!$A:$A,0))</f>
        <v>1</v>
      </c>
      <c r="D32" s="3" t="str">
        <f aca="false">IFERROR(INDEX(Booking!$C:$C,MATCH($A32,Booking!$A:$A,0)),"")</f>
        <v>Northbay Pension Fund</v>
      </c>
      <c r="E32" s="3" t="str">
        <f aca="false">IFERROR(INDEX(Confirmations!$C:$C,MATCH($A32,Confirmations!$A:$A,0)),"")</f>
        <v>Northbay Pension Fund</v>
      </c>
      <c r="F32" s="14" t="n">
        <f aca="false">IFERROR(INDEX(Booking!$D:$D,MATCH($A32,Booking!$A:$A,0)),"")</f>
        <v>13000000</v>
      </c>
      <c r="G32" s="14" t="n">
        <f aca="false">IFERROR(INDEX(Confirmations!$D:$D,MATCH($A32,Confirmations!$A:$A,0)),"")</f>
        <v>13000000</v>
      </c>
      <c r="H32" s="15" t="n">
        <f aca="false">IFERROR(INDEX(Booking!$E:$E,MATCH($A32,Booking!$A:$A,0)),"")</f>
        <v>1.8974</v>
      </c>
      <c r="I32" s="15" t="n">
        <f aca="false">IFERROR(INDEX(Confirmations!$E:$E,MATCH($A32,Confirmations!$A:$A,0)),"")</f>
        <v>1.8974</v>
      </c>
      <c r="J32" s="3" t="n">
        <f aca="false">IFERROR(INDEX(Booking!$F:$F,MATCH($A32,Booking!$A:$A,0)),"")</f>
        <v>2</v>
      </c>
      <c r="K32" s="3" t="n">
        <f aca="false">IFERROR(INDEX(Confirmations!$F:$F,MATCH($A32,Confirmations!$A:$A,0)),"")</f>
        <v>2</v>
      </c>
      <c r="L32" s="3" t="str">
        <f aca="false">IF(NOT(C32),"Unconfirmed",IF(NOT(B32),"Unbooked",IF(D32&lt;&gt;E32,"Counterparty",IF(ABS(F32-G32)&gt;F32*Rules!$B$4/10000,"Notional",IF(H32&lt;&gt;I32,"Rate or price",IF(J32&lt;&gt;K32,"Value date","Matched"))))))</f>
        <v>Matched</v>
      </c>
      <c r="M32" s="3" t="n">
        <f aca="false">IF(B32,INDEX(Booking!$G:$G,MATCH(A32,Booking!$A:$A,0)),INDEX(Confirmations!$G:$G,MATCH(A32,Confirmations!$A:$A,0)))</f>
        <v>0</v>
      </c>
      <c r="N32" s="13" t="b">
        <f aca="false">AND(L32&lt;&gt;"Matched",M32&gt;Rules!$B$5)</f>
        <v>0</v>
      </c>
      <c r="O32" s="3" t="str">
        <f aca="false">INDEX(Rules!$B$8:$B$14,MATCH(L32,Rules!$A$8:$A$14,0))</f>
        <v>None</v>
      </c>
    </row>
    <row r="33" customFormat="false" ht="15" hidden="false" customHeight="false" outlineLevel="0" collapsed="false">
      <c r="A33" s="3" t="s">
        <v>77</v>
      </c>
      <c r="B33" s="13" t="b">
        <f aca="false">ISNUMBER(MATCH(A33,Booking!$A:$A,0))</f>
        <v>1</v>
      </c>
      <c r="C33" s="13" t="b">
        <f aca="false">ISNUMBER(MATCH(A33,Confirmations!$A:$A,0))</f>
        <v>1</v>
      </c>
      <c r="D33" s="3" t="str">
        <f aca="false">IFERROR(INDEX(Booking!$C:$C,MATCH($A33,Booking!$A:$A,0)),"")</f>
        <v>Harbour Insurance</v>
      </c>
      <c r="E33" s="3" t="str">
        <f aca="false">IFERROR(INDEX(Confirmations!$C:$C,MATCH($A33,Confirmations!$A:$A,0)),"")</f>
        <v>Harbour Insurance</v>
      </c>
      <c r="F33" s="14" t="n">
        <f aca="false">IFERROR(INDEX(Booking!$D:$D,MATCH($A33,Booking!$A:$A,0)),"")</f>
        <v>3000000</v>
      </c>
      <c r="G33" s="14" t="n">
        <f aca="false">IFERROR(INDEX(Confirmations!$D:$D,MATCH($A33,Confirmations!$A:$A,0)),"")</f>
        <v>3000000</v>
      </c>
      <c r="H33" s="15" t="n">
        <f aca="false">IFERROR(INDEX(Booking!$E:$E,MATCH($A33,Booking!$A:$A,0)),"")</f>
        <v>6.1571</v>
      </c>
      <c r="I33" s="15" t="n">
        <f aca="false">IFERROR(INDEX(Confirmations!$E:$E,MATCH($A33,Confirmations!$A:$A,0)),"")</f>
        <v>6.1571</v>
      </c>
      <c r="J33" s="3" t="n">
        <f aca="false">IFERROR(INDEX(Booking!$F:$F,MATCH($A33,Booking!$A:$A,0)),"")</f>
        <v>1</v>
      </c>
      <c r="K33" s="3" t="n">
        <f aca="false">IFERROR(INDEX(Confirmations!$F:$F,MATCH($A33,Confirmations!$A:$A,0)),"")</f>
        <v>1</v>
      </c>
      <c r="L33" s="3" t="str">
        <f aca="false">IF(NOT(C33),"Unconfirmed",IF(NOT(B33),"Unbooked",IF(D33&lt;&gt;E33,"Counterparty",IF(ABS(F33-G33)&gt;F33*Rules!$B$4/10000,"Notional",IF(H33&lt;&gt;I33,"Rate or price",IF(J33&lt;&gt;K33,"Value date","Matched"))))))</f>
        <v>Matched</v>
      </c>
      <c r="M33" s="3" t="n">
        <f aca="false">IF(B33,INDEX(Booking!$G:$G,MATCH(A33,Booking!$A:$A,0)),INDEX(Confirmations!$G:$G,MATCH(A33,Confirmations!$A:$A,0)))</f>
        <v>6</v>
      </c>
      <c r="N33" s="13" t="b">
        <f aca="false">AND(L33&lt;&gt;"Matched",M33&gt;Rules!$B$5)</f>
        <v>0</v>
      </c>
      <c r="O33" s="3" t="str">
        <f aca="false">INDEX(Rules!$B$8:$B$14,MATCH(L33,Rules!$A$8:$A$14,0))</f>
        <v>None</v>
      </c>
    </row>
    <row r="34" customFormat="false" ht="15" hidden="false" customHeight="false" outlineLevel="0" collapsed="false">
      <c r="A34" s="3" t="s">
        <v>78</v>
      </c>
      <c r="B34" s="13" t="b">
        <f aca="false">ISNUMBER(MATCH(A34,Booking!$A:$A,0))</f>
        <v>1</v>
      </c>
      <c r="C34" s="13" t="b">
        <f aca="false">ISNUMBER(MATCH(A34,Confirmations!$A:$A,0))</f>
        <v>1</v>
      </c>
      <c r="D34" s="3" t="str">
        <f aca="false">IFERROR(INDEX(Booking!$C:$C,MATCH($A34,Booking!$A:$A,0)),"")</f>
        <v>Meridian Bank</v>
      </c>
      <c r="E34" s="3" t="str">
        <f aca="false">IFERROR(INDEX(Confirmations!$C:$C,MATCH($A34,Confirmations!$A:$A,0)),"")</f>
        <v>Meridian Bank</v>
      </c>
      <c r="F34" s="14" t="n">
        <f aca="false">IFERROR(INDEX(Booking!$D:$D,MATCH($A34,Booking!$A:$A,0)),"")</f>
        <v>50000000</v>
      </c>
      <c r="G34" s="14" t="n">
        <f aca="false">IFERROR(INDEX(Confirmations!$D:$D,MATCH($A34,Confirmations!$A:$A,0)),"")</f>
        <v>50000000</v>
      </c>
      <c r="H34" s="15" t="n">
        <f aca="false">IFERROR(INDEX(Booking!$E:$E,MATCH($A34,Booking!$A:$A,0)),"")</f>
        <v>3.1719</v>
      </c>
      <c r="I34" s="15" t="n">
        <f aca="false">IFERROR(INDEX(Confirmations!$E:$E,MATCH($A34,Confirmations!$A:$A,0)),"")</f>
        <v>3.1719</v>
      </c>
      <c r="J34" s="3" t="n">
        <f aca="false">IFERROR(INDEX(Booking!$F:$F,MATCH($A34,Booking!$A:$A,0)),"")</f>
        <v>1</v>
      </c>
      <c r="K34" s="3" t="n">
        <f aca="false">IFERROR(INDEX(Confirmations!$F:$F,MATCH($A34,Confirmations!$A:$A,0)),"")</f>
        <v>1</v>
      </c>
      <c r="L34" s="3" t="str">
        <f aca="false">IF(NOT(C34),"Unconfirmed",IF(NOT(B34),"Unbooked",IF(D34&lt;&gt;E34,"Counterparty",IF(ABS(F34-G34)&gt;F34*Rules!$B$4/10000,"Notional",IF(H34&lt;&gt;I34,"Rate or price",IF(J34&lt;&gt;K34,"Value date","Matched"))))))</f>
        <v>Matched</v>
      </c>
      <c r="M34" s="3" t="n">
        <f aca="false">IF(B34,INDEX(Booking!$G:$G,MATCH(A34,Booking!$A:$A,0)),INDEX(Confirmations!$G:$G,MATCH(A34,Confirmations!$A:$A,0)))</f>
        <v>1</v>
      </c>
      <c r="N34" s="13" t="b">
        <f aca="false">AND(L34&lt;&gt;"Matched",M34&gt;Rules!$B$5)</f>
        <v>0</v>
      </c>
      <c r="O34" s="3" t="str">
        <f aca="false">INDEX(Rules!$B$8:$B$14,MATCH(L34,Rules!$A$8:$A$14,0))</f>
        <v>None</v>
      </c>
    </row>
    <row r="35" customFormat="false" ht="15" hidden="false" customHeight="false" outlineLevel="0" collapsed="false">
      <c r="A35" s="3" t="s">
        <v>79</v>
      </c>
      <c r="B35" s="13" t="b">
        <f aca="false">ISNUMBER(MATCH(A35,Booking!$A:$A,0))</f>
        <v>1</v>
      </c>
      <c r="C35" s="13" t="b">
        <f aca="false">ISNUMBER(MATCH(A35,Confirmations!$A:$A,0))</f>
        <v>0</v>
      </c>
      <c r="D35" s="3" t="str">
        <f aca="false">IFERROR(INDEX(Booking!$C:$C,MATCH($A35,Booking!$A:$A,0)),"")</f>
        <v>Kestrel Macro Fund</v>
      </c>
      <c r="E35" s="3" t="str">
        <f aca="false">IFERROR(INDEX(Confirmations!$C:$C,MATCH($A35,Confirmations!$A:$A,0)),"")</f>
        <v/>
      </c>
      <c r="F35" s="14" t="n">
        <f aca="false">IFERROR(INDEX(Booking!$D:$D,MATCH($A35,Booking!$A:$A,0)),"")</f>
        <v>13000000</v>
      </c>
      <c r="G35" s="14" t="str">
        <f aca="false">IFERROR(INDEX(Confirmations!$D:$D,MATCH($A35,Confirmations!$A:$A,0)),"")</f>
        <v/>
      </c>
      <c r="H35" s="15" t="n">
        <f aca="false">IFERROR(INDEX(Booking!$E:$E,MATCH($A35,Booking!$A:$A,0)),"")</f>
        <v>6.3033</v>
      </c>
      <c r="I35" s="15" t="str">
        <f aca="false">IFERROR(INDEX(Confirmations!$E:$E,MATCH($A35,Confirmations!$A:$A,0)),"")</f>
        <v/>
      </c>
      <c r="J35" s="3" t="n">
        <f aca="false">IFERROR(INDEX(Booking!$F:$F,MATCH($A35,Booking!$A:$A,0)),"")</f>
        <v>3</v>
      </c>
      <c r="K35" s="3" t="str">
        <f aca="false">IFERROR(INDEX(Confirmations!$F:$F,MATCH($A35,Confirmations!$A:$A,0)),"")</f>
        <v/>
      </c>
      <c r="L35" s="3" t="str">
        <f aca="false">IF(NOT(C35),"Unconfirmed",IF(NOT(B35),"Unbooked",IF(D35&lt;&gt;E35,"Counterparty",IF(ABS(F35-G35)&gt;F35*Rules!$B$4/10000,"Notional",IF(H35&lt;&gt;I35,"Rate or price",IF(J35&lt;&gt;K35,"Value date","Matched"))))))</f>
        <v>Unconfirmed</v>
      </c>
      <c r="M35" s="3" t="n">
        <f aca="false">IF(B35,INDEX(Booking!$G:$G,MATCH(A35,Booking!$A:$A,0)),INDEX(Confirmations!$G:$G,MATCH(A35,Confirmations!$A:$A,0)))</f>
        <v>1</v>
      </c>
      <c r="N35" s="13" t="b">
        <f aca="false">AND(L35&lt;&gt;"Matched",M35&gt;Rules!$B$5)</f>
        <v>0</v>
      </c>
      <c r="O35" s="3" t="str">
        <f aca="false">INDEX(Rules!$B$8:$B$14,MATCH(L35,Rules!$A$8:$A$14,0))</f>
        <v>Confirmations team: chase counterparty</v>
      </c>
    </row>
    <row r="36" customFormat="false" ht="15" hidden="false" customHeight="false" outlineLevel="0" collapsed="false">
      <c r="A36" s="3" t="s">
        <v>80</v>
      </c>
      <c r="B36" s="13" t="b">
        <f aca="false">ISNUMBER(MATCH(A36,Booking!$A:$A,0))</f>
        <v>1</v>
      </c>
      <c r="C36" s="13" t="b">
        <f aca="false">ISNUMBER(MATCH(A36,Confirmations!$A:$A,0))</f>
        <v>1</v>
      </c>
      <c r="D36" s="3" t="str">
        <f aca="false">IFERROR(INDEX(Booking!$C:$C,MATCH($A36,Booking!$A:$A,0)),"")</f>
        <v>Kestrel Macro Fund</v>
      </c>
      <c r="E36" s="3" t="str">
        <f aca="false">IFERROR(INDEX(Confirmations!$C:$C,MATCH($A36,Confirmations!$A:$A,0)),"")</f>
        <v>Kestrel Macro Fund</v>
      </c>
      <c r="F36" s="14" t="n">
        <f aca="false">IFERROR(INDEX(Booking!$D:$D,MATCH($A36,Booking!$A:$A,0)),"")</f>
        <v>43000000</v>
      </c>
      <c r="G36" s="14" t="n">
        <f aca="false">IFERROR(INDEX(Confirmations!$D:$D,MATCH($A36,Confirmations!$A:$A,0)),"")</f>
        <v>43000000</v>
      </c>
      <c r="H36" s="15" t="n">
        <f aca="false">IFERROR(INDEX(Booking!$E:$E,MATCH($A36,Booking!$A:$A,0)),"")</f>
        <v>3.8572</v>
      </c>
      <c r="I36" s="15" t="n">
        <f aca="false">IFERROR(INDEX(Confirmations!$E:$E,MATCH($A36,Confirmations!$A:$A,0)),"")</f>
        <v>3.8572</v>
      </c>
      <c r="J36" s="3" t="n">
        <f aca="false">IFERROR(INDEX(Booking!$F:$F,MATCH($A36,Booking!$A:$A,0)),"")</f>
        <v>2</v>
      </c>
      <c r="K36" s="3" t="n">
        <f aca="false">IFERROR(INDEX(Confirmations!$F:$F,MATCH($A36,Confirmations!$A:$A,0)),"")</f>
        <v>2</v>
      </c>
      <c r="L36" s="3" t="str">
        <f aca="false">IF(NOT(C36),"Unconfirmed",IF(NOT(B36),"Unbooked",IF(D36&lt;&gt;E36,"Counterparty",IF(ABS(F36-G36)&gt;F36*Rules!$B$4/10000,"Notional",IF(H36&lt;&gt;I36,"Rate or price",IF(J36&lt;&gt;K36,"Value date","Matched"))))))</f>
        <v>Matched</v>
      </c>
      <c r="M36" s="3" t="n">
        <f aca="false">IF(B36,INDEX(Booking!$G:$G,MATCH(A36,Booking!$A:$A,0)),INDEX(Confirmations!$G:$G,MATCH(A36,Confirmations!$A:$A,0)))</f>
        <v>2</v>
      </c>
      <c r="N36" s="13" t="b">
        <f aca="false">AND(L36&lt;&gt;"Matched",M36&gt;Rules!$B$5)</f>
        <v>0</v>
      </c>
      <c r="O36" s="3" t="str">
        <f aca="false">INDEX(Rules!$B$8:$B$14,MATCH(L36,Rules!$A$8:$A$14,0))</f>
        <v>None</v>
      </c>
    </row>
    <row r="37" customFormat="false" ht="15" hidden="false" customHeight="false" outlineLevel="0" collapsed="false">
      <c r="A37" s="3" t="s">
        <v>81</v>
      </c>
      <c r="B37" s="13" t="b">
        <f aca="false">ISNUMBER(MATCH(A37,Booking!$A:$A,0))</f>
        <v>1</v>
      </c>
      <c r="C37" s="13" t="b">
        <f aca="false">ISNUMBER(MATCH(A37,Confirmations!$A:$A,0))</f>
        <v>1</v>
      </c>
      <c r="D37" s="3" t="str">
        <f aca="false">IFERROR(INDEX(Booking!$C:$C,MATCH($A37,Booking!$A:$A,0)),"")</f>
        <v>Meridian Bank</v>
      </c>
      <c r="E37" s="3" t="str">
        <f aca="false">IFERROR(INDEX(Confirmations!$C:$C,MATCH($A37,Confirmations!$A:$A,0)),"")</f>
        <v>Meridian Bank</v>
      </c>
      <c r="F37" s="14" t="n">
        <f aca="false">IFERROR(INDEX(Booking!$D:$D,MATCH($A37,Booking!$A:$A,0)),"")</f>
        <v>31000000</v>
      </c>
      <c r="G37" s="14" t="n">
        <f aca="false">IFERROR(INDEX(Confirmations!$D:$D,MATCH($A37,Confirmations!$A:$A,0)),"")</f>
        <v>31000000</v>
      </c>
      <c r="H37" s="15" t="n">
        <f aca="false">IFERROR(INDEX(Booking!$E:$E,MATCH($A37,Booking!$A:$A,0)),"")</f>
        <v>6.7247</v>
      </c>
      <c r="I37" s="15" t="n">
        <f aca="false">IFERROR(INDEX(Confirmations!$E:$E,MATCH($A37,Confirmations!$A:$A,0)),"")</f>
        <v>6.7247</v>
      </c>
      <c r="J37" s="3" t="n">
        <f aca="false">IFERROR(INDEX(Booking!$F:$F,MATCH($A37,Booking!$A:$A,0)),"")</f>
        <v>3</v>
      </c>
      <c r="K37" s="3" t="n">
        <f aca="false">IFERROR(INDEX(Confirmations!$F:$F,MATCH($A37,Confirmations!$A:$A,0)),"")</f>
        <v>3</v>
      </c>
      <c r="L37" s="3" t="str">
        <f aca="false">IF(NOT(C37),"Unconfirmed",IF(NOT(B37),"Unbooked",IF(D37&lt;&gt;E37,"Counterparty",IF(ABS(F37-G37)&gt;F37*Rules!$B$4/10000,"Notional",IF(H37&lt;&gt;I37,"Rate or price",IF(J37&lt;&gt;K37,"Value date","Matched"))))))</f>
        <v>Matched</v>
      </c>
      <c r="M37" s="3" t="n">
        <f aca="false">IF(B37,INDEX(Booking!$G:$G,MATCH(A37,Booking!$A:$A,0)),INDEX(Confirmations!$G:$G,MATCH(A37,Confirmations!$A:$A,0)))</f>
        <v>6</v>
      </c>
      <c r="N37" s="13" t="b">
        <f aca="false">AND(L37&lt;&gt;"Matched",M37&gt;Rules!$B$5)</f>
        <v>0</v>
      </c>
      <c r="O37" s="3" t="str">
        <f aca="false">INDEX(Rules!$B$8:$B$14,MATCH(L37,Rules!$A$8:$A$14,0))</f>
        <v>None</v>
      </c>
    </row>
    <row r="38" customFormat="false" ht="15" hidden="false" customHeight="false" outlineLevel="0" collapsed="false">
      <c r="A38" s="3" t="s">
        <v>82</v>
      </c>
      <c r="B38" s="13" t="b">
        <f aca="false">ISNUMBER(MATCH(A38,Booking!$A:$A,0))</f>
        <v>1</v>
      </c>
      <c r="C38" s="13" t="b">
        <f aca="false">ISNUMBER(MATCH(A38,Confirmations!$A:$A,0))</f>
        <v>1</v>
      </c>
      <c r="D38" s="3" t="str">
        <f aca="false">IFERROR(INDEX(Booking!$C:$C,MATCH($A38,Booking!$A:$A,0)),"")</f>
        <v>Tarn Energy Trading</v>
      </c>
      <c r="E38" s="3" t="str">
        <f aca="false">IFERROR(INDEX(Confirmations!$C:$C,MATCH($A38,Confirmations!$A:$A,0)),"")</f>
        <v>Tarn Energy Trading</v>
      </c>
      <c r="F38" s="14" t="n">
        <f aca="false">IFERROR(INDEX(Booking!$D:$D,MATCH($A38,Booking!$A:$A,0)),"")</f>
        <v>23000000</v>
      </c>
      <c r="G38" s="14" t="n">
        <f aca="false">IFERROR(INDEX(Confirmations!$D:$D,MATCH($A38,Confirmations!$A:$A,0)),"")</f>
        <v>23000000</v>
      </c>
      <c r="H38" s="15" t="n">
        <f aca="false">IFERROR(INDEX(Booking!$E:$E,MATCH($A38,Booking!$A:$A,0)),"")</f>
        <v>6.2612</v>
      </c>
      <c r="I38" s="15" t="n">
        <f aca="false">IFERROR(INDEX(Confirmations!$E:$E,MATCH($A38,Confirmations!$A:$A,0)),"")</f>
        <v>6.2612</v>
      </c>
      <c r="J38" s="3" t="n">
        <f aca="false">IFERROR(INDEX(Booking!$F:$F,MATCH($A38,Booking!$A:$A,0)),"")</f>
        <v>3</v>
      </c>
      <c r="K38" s="3" t="n">
        <f aca="false">IFERROR(INDEX(Confirmations!$F:$F,MATCH($A38,Confirmations!$A:$A,0)),"")</f>
        <v>3</v>
      </c>
      <c r="L38" s="3" t="str">
        <f aca="false">IF(NOT(C38),"Unconfirmed",IF(NOT(B38),"Unbooked",IF(D38&lt;&gt;E38,"Counterparty",IF(ABS(F38-G38)&gt;F38*Rules!$B$4/10000,"Notional",IF(H38&lt;&gt;I38,"Rate or price",IF(J38&lt;&gt;K38,"Value date","Matched"))))))</f>
        <v>Matched</v>
      </c>
      <c r="M38" s="3" t="n">
        <f aca="false">IF(B38,INDEX(Booking!$G:$G,MATCH(A38,Booking!$A:$A,0)),INDEX(Confirmations!$G:$G,MATCH(A38,Confirmations!$A:$A,0)))</f>
        <v>1</v>
      </c>
      <c r="N38" s="13" t="b">
        <f aca="false">AND(L38&lt;&gt;"Matched",M38&gt;Rules!$B$5)</f>
        <v>0</v>
      </c>
      <c r="O38" s="3" t="str">
        <f aca="false">INDEX(Rules!$B$8:$B$14,MATCH(L38,Rules!$A$8:$A$14,0))</f>
        <v>None</v>
      </c>
    </row>
    <row r="39" customFormat="false" ht="15" hidden="false" customHeight="false" outlineLevel="0" collapsed="false">
      <c r="A39" s="3" t="s">
        <v>83</v>
      </c>
      <c r="B39" s="13" t="b">
        <f aca="false">ISNUMBER(MATCH(A39,Booking!$A:$A,0))</f>
        <v>1</v>
      </c>
      <c r="C39" s="13" t="b">
        <f aca="false">ISNUMBER(MATCH(A39,Confirmations!$A:$A,0))</f>
        <v>1</v>
      </c>
      <c r="D39" s="3" t="str">
        <f aca="false">IFERROR(INDEX(Booking!$C:$C,MATCH($A39,Booking!$A:$A,0)),"")</f>
        <v>Harbour Insurance</v>
      </c>
      <c r="E39" s="3" t="str">
        <f aca="false">IFERROR(INDEX(Confirmations!$C:$C,MATCH($A39,Confirmations!$A:$A,0)),"")</f>
        <v>Harbour Insurance</v>
      </c>
      <c r="F39" s="14" t="n">
        <f aca="false">IFERROR(INDEX(Booking!$D:$D,MATCH($A39,Booking!$A:$A,0)),"")</f>
        <v>6000000</v>
      </c>
      <c r="G39" s="14" t="n">
        <f aca="false">IFERROR(INDEX(Confirmations!$D:$D,MATCH($A39,Confirmations!$A:$A,0)),"")</f>
        <v>6000000</v>
      </c>
      <c r="H39" s="15" t="n">
        <f aca="false">IFERROR(INDEX(Booking!$E:$E,MATCH($A39,Booking!$A:$A,0)),"")</f>
        <v>1.2977</v>
      </c>
      <c r="I39" s="15" t="n">
        <f aca="false">IFERROR(INDEX(Confirmations!$E:$E,MATCH($A39,Confirmations!$A:$A,0)),"")</f>
        <v>1.2977</v>
      </c>
      <c r="J39" s="3" t="n">
        <f aca="false">IFERROR(INDEX(Booking!$F:$F,MATCH($A39,Booking!$A:$A,0)),"")</f>
        <v>3</v>
      </c>
      <c r="K39" s="3" t="n">
        <f aca="false">IFERROR(INDEX(Confirmations!$F:$F,MATCH($A39,Confirmations!$A:$A,0)),"")</f>
        <v>3</v>
      </c>
      <c r="L39" s="3" t="str">
        <f aca="false">IF(NOT(C39),"Unconfirmed",IF(NOT(B39),"Unbooked",IF(D39&lt;&gt;E39,"Counterparty",IF(ABS(F39-G39)&gt;F39*Rules!$B$4/10000,"Notional",IF(H39&lt;&gt;I39,"Rate or price",IF(J39&lt;&gt;K39,"Value date","Matched"))))))</f>
        <v>Matched</v>
      </c>
      <c r="M39" s="3" t="n">
        <f aca="false">IF(B39,INDEX(Booking!$G:$G,MATCH(A39,Booking!$A:$A,0)),INDEX(Confirmations!$G:$G,MATCH(A39,Confirmations!$A:$A,0)))</f>
        <v>0</v>
      </c>
      <c r="N39" s="13" t="b">
        <f aca="false">AND(L39&lt;&gt;"Matched",M39&gt;Rules!$B$5)</f>
        <v>0</v>
      </c>
      <c r="O39" s="3" t="str">
        <f aca="false">INDEX(Rules!$B$8:$B$14,MATCH(L39,Rules!$A$8:$A$14,0))</f>
        <v>None</v>
      </c>
    </row>
    <row r="40" customFormat="false" ht="15" hidden="false" customHeight="false" outlineLevel="0" collapsed="false">
      <c r="A40" s="3" t="s">
        <v>84</v>
      </c>
      <c r="B40" s="13" t="b">
        <f aca="false">ISNUMBER(MATCH(A40,Booking!$A:$A,0))</f>
        <v>1</v>
      </c>
      <c r="C40" s="13" t="b">
        <f aca="false">ISNUMBER(MATCH(A40,Confirmations!$A:$A,0))</f>
        <v>1</v>
      </c>
      <c r="D40" s="3" t="str">
        <f aca="false">IFERROR(INDEX(Booking!$C:$C,MATCH($A40,Booking!$A:$A,0)),"")</f>
        <v>Harbour Insurance</v>
      </c>
      <c r="E40" s="3" t="str">
        <f aca="false">IFERROR(INDEX(Confirmations!$C:$C,MATCH($A40,Confirmations!$A:$A,0)),"")</f>
        <v>Harbour Insurance</v>
      </c>
      <c r="F40" s="14" t="n">
        <f aca="false">IFERROR(INDEX(Booking!$D:$D,MATCH($A40,Booking!$A:$A,0)),"")</f>
        <v>14000000</v>
      </c>
      <c r="G40" s="14" t="n">
        <f aca="false">IFERROR(INDEX(Confirmations!$D:$D,MATCH($A40,Confirmations!$A:$A,0)),"")</f>
        <v>14000000</v>
      </c>
      <c r="H40" s="15" t="n">
        <f aca="false">IFERROR(INDEX(Booking!$E:$E,MATCH($A40,Booking!$A:$A,0)),"")</f>
        <v>3.2934</v>
      </c>
      <c r="I40" s="15" t="n">
        <f aca="false">IFERROR(INDEX(Confirmations!$E:$E,MATCH($A40,Confirmations!$A:$A,0)),"")</f>
        <v>3.2934</v>
      </c>
      <c r="J40" s="3" t="n">
        <f aca="false">IFERROR(INDEX(Booking!$F:$F,MATCH($A40,Booking!$A:$A,0)),"")</f>
        <v>3</v>
      </c>
      <c r="K40" s="3" t="n">
        <f aca="false">IFERROR(INDEX(Confirmations!$F:$F,MATCH($A40,Confirmations!$A:$A,0)),"")</f>
        <v>3</v>
      </c>
      <c r="L40" s="3" t="str">
        <f aca="false">IF(NOT(C40),"Unconfirmed",IF(NOT(B40),"Unbooked",IF(D40&lt;&gt;E40,"Counterparty",IF(ABS(F40-G40)&gt;F40*Rules!$B$4/10000,"Notional",IF(H40&lt;&gt;I40,"Rate or price",IF(J40&lt;&gt;K40,"Value date","Matched"))))))</f>
        <v>Matched</v>
      </c>
      <c r="M40" s="3" t="n">
        <f aca="false">IF(B40,INDEX(Booking!$G:$G,MATCH(A40,Booking!$A:$A,0)),INDEX(Confirmations!$G:$G,MATCH(A40,Confirmations!$A:$A,0)))</f>
        <v>1</v>
      </c>
      <c r="N40" s="13" t="b">
        <f aca="false">AND(L40&lt;&gt;"Matched",M40&gt;Rules!$B$5)</f>
        <v>0</v>
      </c>
      <c r="O40" s="3" t="str">
        <f aca="false">INDEX(Rules!$B$8:$B$14,MATCH(L40,Rules!$A$8:$A$14,0))</f>
        <v>None</v>
      </c>
    </row>
    <row r="41" customFormat="false" ht="15" hidden="false" customHeight="false" outlineLevel="0" collapsed="false">
      <c r="A41" s="3" t="s">
        <v>85</v>
      </c>
      <c r="B41" s="13" t="b">
        <f aca="false">ISNUMBER(MATCH(A41,Booking!$A:$A,0))</f>
        <v>1</v>
      </c>
      <c r="C41" s="13" t="b">
        <f aca="false">ISNUMBER(MATCH(A41,Confirmations!$A:$A,0))</f>
        <v>1</v>
      </c>
      <c r="D41" s="3" t="str">
        <f aca="false">IFERROR(INDEX(Booking!$C:$C,MATCH($A41,Booking!$A:$A,0)),"")</f>
        <v>Harbour Insurance</v>
      </c>
      <c r="E41" s="3" t="str">
        <f aca="false">IFERROR(INDEX(Confirmations!$C:$C,MATCH($A41,Confirmations!$A:$A,0)),"")</f>
        <v>Harbour Insurance</v>
      </c>
      <c r="F41" s="14" t="n">
        <f aca="false">IFERROR(INDEX(Booking!$D:$D,MATCH($A41,Booking!$A:$A,0)),"")</f>
        <v>44000000</v>
      </c>
      <c r="G41" s="14" t="n">
        <f aca="false">IFERROR(INDEX(Confirmations!$D:$D,MATCH($A41,Confirmations!$A:$A,0)),"")</f>
        <v>44000000</v>
      </c>
      <c r="H41" s="15" t="n">
        <f aca="false">IFERROR(INDEX(Booking!$E:$E,MATCH($A41,Booking!$A:$A,0)),"")</f>
        <v>5.6286</v>
      </c>
      <c r="I41" s="15" t="n">
        <f aca="false">IFERROR(INDEX(Confirmations!$E:$E,MATCH($A41,Confirmations!$A:$A,0)),"")</f>
        <v>5.6286</v>
      </c>
      <c r="J41" s="3" t="n">
        <f aca="false">IFERROR(INDEX(Booking!$F:$F,MATCH($A41,Booking!$A:$A,0)),"")</f>
        <v>3</v>
      </c>
      <c r="K41" s="3" t="n">
        <f aca="false">IFERROR(INDEX(Confirmations!$F:$F,MATCH($A41,Confirmations!$A:$A,0)),"")</f>
        <v>3</v>
      </c>
      <c r="L41" s="3" t="str">
        <f aca="false">IF(NOT(C41),"Unconfirmed",IF(NOT(B41),"Unbooked",IF(D41&lt;&gt;E41,"Counterparty",IF(ABS(F41-G41)&gt;F41*Rules!$B$4/10000,"Notional",IF(H41&lt;&gt;I41,"Rate or price",IF(J41&lt;&gt;K41,"Value date","Matched"))))))</f>
        <v>Matched</v>
      </c>
      <c r="M41" s="3" t="n">
        <f aca="false">IF(B41,INDEX(Booking!$G:$G,MATCH(A41,Booking!$A:$A,0)),INDEX(Confirmations!$G:$G,MATCH(A41,Confirmations!$A:$A,0)))</f>
        <v>5</v>
      </c>
      <c r="N41" s="13" t="b">
        <f aca="false">AND(L41&lt;&gt;"Matched",M41&gt;Rules!$B$5)</f>
        <v>0</v>
      </c>
      <c r="O41" s="3" t="str">
        <f aca="false">INDEX(Rules!$B$8:$B$14,MATCH(L41,Rules!$A$8:$A$14,0))</f>
        <v>None</v>
      </c>
    </row>
    <row r="42" customFormat="false" ht="15" hidden="false" customHeight="false" outlineLevel="0" collapsed="false">
      <c r="A42" s="3" t="s">
        <v>86</v>
      </c>
      <c r="B42" s="13" t="b">
        <f aca="false">ISNUMBER(MATCH(A42,Booking!$A:$A,0))</f>
        <v>1</v>
      </c>
      <c r="C42" s="13" t="b">
        <f aca="false">ISNUMBER(MATCH(A42,Confirmations!$A:$A,0))</f>
        <v>1</v>
      </c>
      <c r="D42" s="3" t="str">
        <f aca="false">IFERROR(INDEX(Booking!$C:$C,MATCH($A42,Booking!$A:$A,0)),"")</f>
        <v>Solent Asset Management</v>
      </c>
      <c r="E42" s="3" t="str">
        <f aca="false">IFERROR(INDEX(Confirmations!$C:$C,MATCH($A42,Confirmations!$A:$A,0)),"")</f>
        <v>Solent Asset Management</v>
      </c>
      <c r="F42" s="14" t="n">
        <f aca="false">IFERROR(INDEX(Booking!$D:$D,MATCH($A42,Booking!$A:$A,0)),"")</f>
        <v>27000000</v>
      </c>
      <c r="G42" s="14" t="n">
        <f aca="false">IFERROR(INDEX(Confirmations!$D:$D,MATCH($A42,Confirmations!$A:$A,0)),"")</f>
        <v>27000000</v>
      </c>
      <c r="H42" s="15" t="n">
        <f aca="false">IFERROR(INDEX(Booking!$E:$E,MATCH($A42,Booking!$A:$A,0)),"")</f>
        <v>5.8707</v>
      </c>
      <c r="I42" s="15" t="n">
        <f aca="false">IFERROR(INDEX(Confirmations!$E:$E,MATCH($A42,Confirmations!$A:$A,0)),"")</f>
        <v>5.8707</v>
      </c>
      <c r="J42" s="3" t="n">
        <f aca="false">IFERROR(INDEX(Booking!$F:$F,MATCH($A42,Booking!$A:$A,0)),"")</f>
        <v>2</v>
      </c>
      <c r="K42" s="3" t="n">
        <f aca="false">IFERROR(INDEX(Confirmations!$F:$F,MATCH($A42,Confirmations!$A:$A,0)),"")</f>
        <v>2</v>
      </c>
      <c r="L42" s="3" t="str">
        <f aca="false">IF(NOT(C42),"Unconfirmed",IF(NOT(B42),"Unbooked",IF(D42&lt;&gt;E42,"Counterparty",IF(ABS(F42-G42)&gt;F42*Rules!$B$4/10000,"Notional",IF(H42&lt;&gt;I42,"Rate or price",IF(J42&lt;&gt;K42,"Value date","Matched"))))))</f>
        <v>Matched</v>
      </c>
      <c r="M42" s="3" t="n">
        <f aca="false">IF(B42,INDEX(Booking!$G:$G,MATCH(A42,Booking!$A:$A,0)),INDEX(Confirmations!$G:$G,MATCH(A42,Confirmations!$A:$A,0)))</f>
        <v>7</v>
      </c>
      <c r="N42" s="13" t="b">
        <f aca="false">AND(L42&lt;&gt;"Matched",M42&gt;Rules!$B$5)</f>
        <v>0</v>
      </c>
      <c r="O42" s="3" t="str">
        <f aca="false">INDEX(Rules!$B$8:$B$14,MATCH(L42,Rules!$A$8:$A$14,0))</f>
        <v>None</v>
      </c>
    </row>
    <row r="43" customFormat="false" ht="15" hidden="false" customHeight="false" outlineLevel="0" collapsed="false">
      <c r="A43" s="3" t="s">
        <v>87</v>
      </c>
      <c r="B43" s="13" t="b">
        <f aca="false">ISNUMBER(MATCH(A43,Booking!$A:$A,0))</f>
        <v>1</v>
      </c>
      <c r="C43" s="13" t="b">
        <f aca="false">ISNUMBER(MATCH(A43,Confirmations!$A:$A,0))</f>
        <v>1</v>
      </c>
      <c r="D43" s="3" t="str">
        <f aca="false">IFERROR(INDEX(Booking!$C:$C,MATCH($A43,Booking!$A:$A,0)),"")</f>
        <v>Meridian Bank</v>
      </c>
      <c r="E43" s="3" t="str">
        <f aca="false">IFERROR(INDEX(Confirmations!$C:$C,MATCH($A43,Confirmations!$A:$A,0)),"")</f>
        <v>Meridian Bank</v>
      </c>
      <c r="F43" s="14" t="n">
        <f aca="false">IFERROR(INDEX(Booking!$D:$D,MATCH($A43,Booking!$A:$A,0)),"")</f>
        <v>12000000</v>
      </c>
      <c r="G43" s="14" t="n">
        <f aca="false">IFERROR(INDEX(Confirmations!$D:$D,MATCH($A43,Confirmations!$A:$A,0)),"")</f>
        <v>12000000</v>
      </c>
      <c r="H43" s="15" t="n">
        <f aca="false">IFERROR(INDEX(Booking!$E:$E,MATCH($A43,Booking!$A:$A,0)),"")</f>
        <v>1.3562</v>
      </c>
      <c r="I43" s="15" t="n">
        <f aca="false">IFERROR(INDEX(Confirmations!$E:$E,MATCH($A43,Confirmations!$A:$A,0)),"")</f>
        <v>1.3562</v>
      </c>
      <c r="J43" s="3" t="n">
        <f aca="false">IFERROR(INDEX(Booking!$F:$F,MATCH($A43,Booking!$A:$A,0)),"")</f>
        <v>1</v>
      </c>
      <c r="K43" s="3" t="n">
        <f aca="false">IFERROR(INDEX(Confirmations!$F:$F,MATCH($A43,Confirmations!$A:$A,0)),"")</f>
        <v>1</v>
      </c>
      <c r="L43" s="3" t="str">
        <f aca="false">IF(NOT(C43),"Unconfirmed",IF(NOT(B43),"Unbooked",IF(D43&lt;&gt;E43,"Counterparty",IF(ABS(F43-G43)&gt;F43*Rules!$B$4/10000,"Notional",IF(H43&lt;&gt;I43,"Rate or price",IF(J43&lt;&gt;K43,"Value date","Matched"))))))</f>
        <v>Matched</v>
      </c>
      <c r="M43" s="3" t="n">
        <f aca="false">IF(B43,INDEX(Booking!$G:$G,MATCH(A43,Booking!$A:$A,0)),INDEX(Confirmations!$G:$G,MATCH(A43,Confirmations!$A:$A,0)))</f>
        <v>1</v>
      </c>
      <c r="N43" s="13" t="b">
        <f aca="false">AND(L43&lt;&gt;"Matched",M43&gt;Rules!$B$5)</f>
        <v>0</v>
      </c>
      <c r="O43" s="3" t="str">
        <f aca="false">INDEX(Rules!$B$8:$B$14,MATCH(L43,Rules!$A$8:$A$14,0))</f>
        <v>None</v>
      </c>
    </row>
    <row r="44" customFormat="false" ht="15" hidden="false" customHeight="false" outlineLevel="0" collapsed="false">
      <c r="A44" s="3" t="s">
        <v>88</v>
      </c>
      <c r="B44" s="13" t="b">
        <f aca="false">ISNUMBER(MATCH(A44,Booking!$A:$A,0))</f>
        <v>1</v>
      </c>
      <c r="C44" s="13" t="b">
        <f aca="false">ISNUMBER(MATCH(A44,Confirmations!$A:$A,0))</f>
        <v>1</v>
      </c>
      <c r="D44" s="3" t="str">
        <f aca="false">IFERROR(INDEX(Booking!$C:$C,MATCH($A44,Booking!$A:$A,0)),"")</f>
        <v>Aldridge Capital</v>
      </c>
      <c r="E44" s="3" t="str">
        <f aca="false">IFERROR(INDEX(Confirmations!$C:$C,MATCH($A44,Confirmations!$A:$A,0)),"")</f>
        <v>Aldridge Capital</v>
      </c>
      <c r="F44" s="14" t="n">
        <f aca="false">IFERROR(INDEX(Booking!$D:$D,MATCH($A44,Booking!$A:$A,0)),"")</f>
        <v>44000000</v>
      </c>
      <c r="G44" s="14" t="n">
        <f aca="false">IFERROR(INDEX(Confirmations!$D:$D,MATCH($A44,Confirmations!$A:$A,0)),"")</f>
        <v>44000000</v>
      </c>
      <c r="H44" s="15" t="n">
        <f aca="false">IFERROR(INDEX(Booking!$E:$E,MATCH($A44,Booking!$A:$A,0)),"")</f>
        <v>6.7102</v>
      </c>
      <c r="I44" s="15" t="n">
        <f aca="false">IFERROR(INDEX(Confirmations!$E:$E,MATCH($A44,Confirmations!$A:$A,0)),"")</f>
        <v>6.7102</v>
      </c>
      <c r="J44" s="3" t="n">
        <f aca="false">IFERROR(INDEX(Booking!$F:$F,MATCH($A44,Booking!$A:$A,0)),"")</f>
        <v>1</v>
      </c>
      <c r="K44" s="3" t="n">
        <f aca="false">IFERROR(INDEX(Confirmations!$F:$F,MATCH($A44,Confirmations!$A:$A,0)),"")</f>
        <v>1</v>
      </c>
      <c r="L44" s="3" t="str">
        <f aca="false">IF(NOT(C44),"Unconfirmed",IF(NOT(B44),"Unbooked",IF(D44&lt;&gt;E44,"Counterparty",IF(ABS(F44-G44)&gt;F44*Rules!$B$4/10000,"Notional",IF(H44&lt;&gt;I44,"Rate or price",IF(J44&lt;&gt;K44,"Value date","Matched"))))))</f>
        <v>Matched</v>
      </c>
      <c r="M44" s="3" t="n">
        <f aca="false">IF(B44,INDEX(Booking!$G:$G,MATCH(A44,Booking!$A:$A,0)),INDEX(Confirmations!$G:$G,MATCH(A44,Confirmations!$A:$A,0)))</f>
        <v>0</v>
      </c>
      <c r="N44" s="13" t="b">
        <f aca="false">AND(L44&lt;&gt;"Matched",M44&gt;Rules!$B$5)</f>
        <v>0</v>
      </c>
      <c r="O44" s="3" t="str">
        <f aca="false">INDEX(Rules!$B$8:$B$14,MATCH(L44,Rules!$A$8:$A$14,0))</f>
        <v>None</v>
      </c>
    </row>
    <row r="45" customFormat="false" ht="15" hidden="false" customHeight="false" outlineLevel="0" collapsed="false">
      <c r="A45" s="3" t="s">
        <v>89</v>
      </c>
      <c r="B45" s="13" t="b">
        <f aca="false">ISNUMBER(MATCH(A45,Booking!$A:$A,0))</f>
        <v>1</v>
      </c>
      <c r="C45" s="13" t="b">
        <f aca="false">ISNUMBER(MATCH(A45,Confirmations!$A:$A,0))</f>
        <v>1</v>
      </c>
      <c r="D45" s="3" t="str">
        <f aca="false">IFERROR(INDEX(Booking!$C:$C,MATCH($A45,Booking!$A:$A,0)),"")</f>
        <v>Tarn Energy Trading</v>
      </c>
      <c r="E45" s="3" t="str">
        <f aca="false">IFERROR(INDEX(Confirmations!$C:$C,MATCH($A45,Confirmations!$A:$A,0)),"")</f>
        <v>Tarn Energy Trading</v>
      </c>
      <c r="F45" s="14" t="n">
        <f aca="false">IFERROR(INDEX(Booking!$D:$D,MATCH($A45,Booking!$A:$A,0)),"")</f>
        <v>40000000</v>
      </c>
      <c r="G45" s="14" t="n">
        <f aca="false">IFERROR(INDEX(Confirmations!$D:$D,MATCH($A45,Confirmations!$A:$A,0)),"")</f>
        <v>40000000</v>
      </c>
      <c r="H45" s="15" t="n">
        <f aca="false">IFERROR(INDEX(Booking!$E:$E,MATCH($A45,Booking!$A:$A,0)),"")</f>
        <v>1.7958</v>
      </c>
      <c r="I45" s="15" t="n">
        <f aca="false">IFERROR(INDEX(Confirmations!$E:$E,MATCH($A45,Confirmations!$A:$A,0)),"")</f>
        <v>1.7958</v>
      </c>
      <c r="J45" s="3" t="n">
        <f aca="false">IFERROR(INDEX(Booking!$F:$F,MATCH($A45,Booking!$A:$A,0)),"")</f>
        <v>1</v>
      </c>
      <c r="K45" s="3" t="n">
        <f aca="false">IFERROR(INDEX(Confirmations!$F:$F,MATCH($A45,Confirmations!$A:$A,0)),"")</f>
        <v>1</v>
      </c>
      <c r="L45" s="3" t="str">
        <f aca="false">IF(NOT(C45),"Unconfirmed",IF(NOT(B45),"Unbooked",IF(D45&lt;&gt;E45,"Counterparty",IF(ABS(F45-G45)&gt;F45*Rules!$B$4/10000,"Notional",IF(H45&lt;&gt;I45,"Rate or price",IF(J45&lt;&gt;K45,"Value date","Matched"))))))</f>
        <v>Matched</v>
      </c>
      <c r="M45" s="3" t="n">
        <f aca="false">IF(B45,INDEX(Booking!$G:$G,MATCH(A45,Booking!$A:$A,0)),INDEX(Confirmations!$G:$G,MATCH(A45,Confirmations!$A:$A,0)))</f>
        <v>5</v>
      </c>
      <c r="N45" s="13" t="b">
        <f aca="false">AND(L45&lt;&gt;"Matched",M45&gt;Rules!$B$5)</f>
        <v>0</v>
      </c>
      <c r="O45" s="3" t="str">
        <f aca="false">INDEX(Rules!$B$8:$B$14,MATCH(L45,Rules!$A$8:$A$14,0))</f>
        <v>None</v>
      </c>
    </row>
    <row r="46" customFormat="false" ht="15" hidden="false" customHeight="false" outlineLevel="0" collapsed="false">
      <c r="A46" s="3" t="s">
        <v>90</v>
      </c>
      <c r="B46" s="13" t="b">
        <f aca="false">ISNUMBER(MATCH(A46,Booking!$A:$A,0))</f>
        <v>1</v>
      </c>
      <c r="C46" s="13" t="b">
        <f aca="false">ISNUMBER(MATCH(A46,Confirmations!$A:$A,0))</f>
        <v>1</v>
      </c>
      <c r="D46" s="3" t="str">
        <f aca="false">IFERROR(INDEX(Booking!$C:$C,MATCH($A46,Booking!$A:$A,0)),"")</f>
        <v>Tarn Energy Trading</v>
      </c>
      <c r="E46" s="3" t="str">
        <f aca="false">IFERROR(INDEX(Confirmations!$C:$C,MATCH($A46,Confirmations!$A:$A,0)),"")</f>
        <v>Tarn Energy Trading</v>
      </c>
      <c r="F46" s="14" t="n">
        <f aca="false">IFERROR(INDEX(Booking!$D:$D,MATCH($A46,Booking!$A:$A,0)),"")</f>
        <v>18000000</v>
      </c>
      <c r="G46" s="14" t="n">
        <f aca="false">IFERROR(INDEX(Confirmations!$D:$D,MATCH($A46,Confirmations!$A:$A,0)),"")</f>
        <v>18000000</v>
      </c>
      <c r="H46" s="15" t="n">
        <f aca="false">IFERROR(INDEX(Booking!$E:$E,MATCH($A46,Booking!$A:$A,0)),"")</f>
        <v>4.2197</v>
      </c>
      <c r="I46" s="15" t="n">
        <f aca="false">IFERROR(INDEX(Confirmations!$E:$E,MATCH($A46,Confirmations!$A:$A,0)),"")</f>
        <v>4.2197</v>
      </c>
      <c r="J46" s="3" t="n">
        <f aca="false">IFERROR(INDEX(Booking!$F:$F,MATCH($A46,Booking!$A:$A,0)),"")</f>
        <v>3</v>
      </c>
      <c r="K46" s="3" t="n">
        <f aca="false">IFERROR(INDEX(Confirmations!$F:$F,MATCH($A46,Confirmations!$A:$A,0)),"")</f>
        <v>4</v>
      </c>
      <c r="L46" s="3" t="str">
        <f aca="false">IF(NOT(C46),"Unconfirmed",IF(NOT(B46),"Unbooked",IF(D46&lt;&gt;E46,"Counterparty",IF(ABS(F46-G46)&gt;F46*Rules!$B$4/10000,"Notional",IF(H46&lt;&gt;I46,"Rate or price",IF(J46&lt;&gt;K46,"Value date","Matched"))))))</f>
        <v>Value date</v>
      </c>
      <c r="M46" s="3" t="n">
        <f aca="false">IF(B46,INDEX(Booking!$G:$G,MATCH(A46,Booking!$A:$A,0)),INDEX(Confirmations!$G:$G,MATCH(A46,Confirmations!$A:$A,0)))</f>
        <v>4</v>
      </c>
      <c r="N46" s="13" t="b">
        <f aca="false">AND(L46&lt;&gt;"Matched",M46&gt;Rules!$B$5)</f>
        <v>1</v>
      </c>
      <c r="O46" s="3" t="str">
        <f aca="false">INDEX(Rules!$B$8:$B$14,MATCH(L46,Rules!$A$8:$A$14,0))</f>
        <v>Middle office: amend booking</v>
      </c>
    </row>
    <row r="47" customFormat="false" ht="15" hidden="false" customHeight="false" outlineLevel="0" collapsed="false">
      <c r="A47" s="3" t="s">
        <v>91</v>
      </c>
      <c r="B47" s="13" t="b">
        <f aca="false">ISNUMBER(MATCH(A47,Booking!$A:$A,0))</f>
        <v>1</v>
      </c>
      <c r="C47" s="13" t="b">
        <f aca="false">ISNUMBER(MATCH(A47,Confirmations!$A:$A,0))</f>
        <v>1</v>
      </c>
      <c r="D47" s="3" t="str">
        <f aca="false">IFERROR(INDEX(Booking!$C:$C,MATCH($A47,Booking!$A:$A,0)),"")</f>
        <v>Meridian Bank</v>
      </c>
      <c r="E47" s="3" t="str">
        <f aca="false">IFERROR(INDEX(Confirmations!$C:$C,MATCH($A47,Confirmations!$A:$A,0)),"")</f>
        <v>Meridian Bank</v>
      </c>
      <c r="F47" s="14" t="n">
        <f aca="false">IFERROR(INDEX(Booking!$D:$D,MATCH($A47,Booking!$A:$A,0)),"")</f>
        <v>18000000</v>
      </c>
      <c r="G47" s="14" t="n">
        <f aca="false">IFERROR(INDEX(Confirmations!$D:$D,MATCH($A47,Confirmations!$A:$A,0)),"")</f>
        <v>18000000</v>
      </c>
      <c r="H47" s="15" t="n">
        <f aca="false">IFERROR(INDEX(Booking!$E:$E,MATCH($A47,Booking!$A:$A,0)),"")</f>
        <v>6.4547</v>
      </c>
      <c r="I47" s="15" t="n">
        <f aca="false">IFERROR(INDEX(Confirmations!$E:$E,MATCH($A47,Confirmations!$A:$A,0)),"")</f>
        <v>6.4547</v>
      </c>
      <c r="J47" s="3" t="n">
        <f aca="false">IFERROR(INDEX(Booking!$F:$F,MATCH($A47,Booking!$A:$A,0)),"")</f>
        <v>1</v>
      </c>
      <c r="K47" s="3" t="n">
        <f aca="false">IFERROR(INDEX(Confirmations!$F:$F,MATCH($A47,Confirmations!$A:$A,0)),"")</f>
        <v>1</v>
      </c>
      <c r="L47" s="3" t="str">
        <f aca="false">IF(NOT(C47),"Unconfirmed",IF(NOT(B47),"Unbooked",IF(D47&lt;&gt;E47,"Counterparty",IF(ABS(F47-G47)&gt;F47*Rules!$B$4/10000,"Notional",IF(H47&lt;&gt;I47,"Rate or price",IF(J47&lt;&gt;K47,"Value date","Matched"))))))</f>
        <v>Matched</v>
      </c>
      <c r="M47" s="3" t="n">
        <f aca="false">IF(B47,INDEX(Booking!$G:$G,MATCH(A47,Booking!$A:$A,0)),INDEX(Confirmations!$G:$G,MATCH(A47,Confirmations!$A:$A,0)))</f>
        <v>8</v>
      </c>
      <c r="N47" s="13" t="b">
        <f aca="false">AND(L47&lt;&gt;"Matched",M47&gt;Rules!$B$5)</f>
        <v>0</v>
      </c>
      <c r="O47" s="3" t="str">
        <f aca="false">INDEX(Rules!$B$8:$B$14,MATCH(L47,Rules!$A$8:$A$14,0))</f>
        <v>None</v>
      </c>
    </row>
    <row r="48" customFormat="false" ht="15" hidden="false" customHeight="false" outlineLevel="0" collapsed="false">
      <c r="A48" s="3" t="s">
        <v>92</v>
      </c>
      <c r="B48" s="13" t="b">
        <f aca="false">ISNUMBER(MATCH(A48,Booking!$A:$A,0))</f>
        <v>1</v>
      </c>
      <c r="C48" s="13" t="b">
        <f aca="false">ISNUMBER(MATCH(A48,Confirmations!$A:$A,0))</f>
        <v>0</v>
      </c>
      <c r="D48" s="3" t="str">
        <f aca="false">IFERROR(INDEX(Booking!$C:$C,MATCH($A48,Booking!$A:$A,0)),"")</f>
        <v>Northbay Pension Fund</v>
      </c>
      <c r="E48" s="3" t="str">
        <f aca="false">IFERROR(INDEX(Confirmations!$C:$C,MATCH($A48,Confirmations!$A:$A,0)),"")</f>
        <v/>
      </c>
      <c r="F48" s="14" t="n">
        <f aca="false">IFERROR(INDEX(Booking!$D:$D,MATCH($A48,Booking!$A:$A,0)),"")</f>
        <v>43000000</v>
      </c>
      <c r="G48" s="14" t="str">
        <f aca="false">IFERROR(INDEX(Confirmations!$D:$D,MATCH($A48,Confirmations!$A:$A,0)),"")</f>
        <v/>
      </c>
      <c r="H48" s="15" t="n">
        <f aca="false">IFERROR(INDEX(Booking!$E:$E,MATCH($A48,Booking!$A:$A,0)),"")</f>
        <v>2.5548</v>
      </c>
      <c r="I48" s="15" t="str">
        <f aca="false">IFERROR(INDEX(Confirmations!$E:$E,MATCH($A48,Confirmations!$A:$A,0)),"")</f>
        <v/>
      </c>
      <c r="J48" s="3" t="n">
        <f aca="false">IFERROR(INDEX(Booking!$F:$F,MATCH($A48,Booking!$A:$A,0)),"")</f>
        <v>3</v>
      </c>
      <c r="K48" s="3" t="str">
        <f aca="false">IFERROR(INDEX(Confirmations!$F:$F,MATCH($A48,Confirmations!$A:$A,0)),"")</f>
        <v/>
      </c>
      <c r="L48" s="3" t="str">
        <f aca="false">IF(NOT(C48),"Unconfirmed",IF(NOT(B48),"Unbooked",IF(D48&lt;&gt;E48,"Counterparty",IF(ABS(F48-G48)&gt;F48*Rules!$B$4/10000,"Notional",IF(H48&lt;&gt;I48,"Rate or price",IF(J48&lt;&gt;K48,"Value date","Matched"))))))</f>
        <v>Unconfirmed</v>
      </c>
      <c r="M48" s="3" t="n">
        <f aca="false">IF(B48,INDEX(Booking!$G:$G,MATCH(A48,Booking!$A:$A,0)),INDEX(Confirmations!$G:$G,MATCH(A48,Confirmations!$A:$A,0)))</f>
        <v>4</v>
      </c>
      <c r="N48" s="13" t="b">
        <f aca="false">AND(L48&lt;&gt;"Matched",M48&gt;Rules!$B$5)</f>
        <v>1</v>
      </c>
      <c r="O48" s="3" t="str">
        <f aca="false">INDEX(Rules!$B$8:$B$14,MATCH(L48,Rules!$A$8:$A$14,0))</f>
        <v>Confirmations team: chase counterparty</v>
      </c>
    </row>
    <row r="49" customFormat="false" ht="15" hidden="false" customHeight="false" outlineLevel="0" collapsed="false">
      <c r="A49" s="3" t="s">
        <v>93</v>
      </c>
      <c r="B49" s="13" t="b">
        <f aca="false">ISNUMBER(MATCH(A49,Booking!$A:$A,0))</f>
        <v>1</v>
      </c>
      <c r="C49" s="13" t="b">
        <f aca="false">ISNUMBER(MATCH(A49,Confirmations!$A:$A,0))</f>
        <v>1</v>
      </c>
      <c r="D49" s="3" t="str">
        <f aca="false">IFERROR(INDEX(Booking!$C:$C,MATCH($A49,Booking!$A:$A,0)),"")</f>
        <v>Aldridge Capital</v>
      </c>
      <c r="E49" s="3" t="str">
        <f aca="false">IFERROR(INDEX(Confirmations!$C:$C,MATCH($A49,Confirmations!$A:$A,0)),"")</f>
        <v>Aldridge Capital</v>
      </c>
      <c r="F49" s="14" t="n">
        <f aca="false">IFERROR(INDEX(Booking!$D:$D,MATCH($A49,Booking!$A:$A,0)),"")</f>
        <v>9000000</v>
      </c>
      <c r="G49" s="14" t="n">
        <f aca="false">IFERROR(INDEX(Confirmations!$D:$D,MATCH($A49,Confirmations!$A:$A,0)),"")</f>
        <v>9000000</v>
      </c>
      <c r="H49" s="15" t="n">
        <f aca="false">IFERROR(INDEX(Booking!$E:$E,MATCH($A49,Booking!$A:$A,0)),"")</f>
        <v>3.4625</v>
      </c>
      <c r="I49" s="15" t="n">
        <f aca="false">IFERROR(INDEX(Confirmations!$E:$E,MATCH($A49,Confirmations!$A:$A,0)),"")</f>
        <v>3.4625</v>
      </c>
      <c r="J49" s="3" t="n">
        <f aca="false">IFERROR(INDEX(Booking!$F:$F,MATCH($A49,Booking!$A:$A,0)),"")</f>
        <v>2</v>
      </c>
      <c r="K49" s="3" t="n">
        <f aca="false">IFERROR(INDEX(Confirmations!$F:$F,MATCH($A49,Confirmations!$A:$A,0)),"")</f>
        <v>2</v>
      </c>
      <c r="L49" s="3" t="str">
        <f aca="false">IF(NOT(C49),"Unconfirmed",IF(NOT(B49),"Unbooked",IF(D49&lt;&gt;E49,"Counterparty",IF(ABS(F49-G49)&gt;F49*Rules!$B$4/10000,"Notional",IF(H49&lt;&gt;I49,"Rate or price",IF(J49&lt;&gt;K49,"Value date","Matched"))))))</f>
        <v>Matched</v>
      </c>
      <c r="M49" s="3" t="n">
        <f aca="false">IF(B49,INDEX(Booking!$G:$G,MATCH(A49,Booking!$A:$A,0)),INDEX(Confirmations!$G:$G,MATCH(A49,Confirmations!$A:$A,0)))</f>
        <v>0</v>
      </c>
      <c r="N49" s="13" t="b">
        <f aca="false">AND(L49&lt;&gt;"Matched",M49&gt;Rules!$B$5)</f>
        <v>0</v>
      </c>
      <c r="O49" s="3" t="str">
        <f aca="false">INDEX(Rules!$B$8:$B$14,MATCH(L49,Rules!$A$8:$A$14,0))</f>
        <v>None</v>
      </c>
    </row>
    <row r="50" customFormat="false" ht="15" hidden="false" customHeight="false" outlineLevel="0" collapsed="false">
      <c r="A50" s="3" t="s">
        <v>94</v>
      </c>
      <c r="B50" s="13" t="b">
        <f aca="false">ISNUMBER(MATCH(A50,Booking!$A:$A,0))</f>
        <v>1</v>
      </c>
      <c r="C50" s="13" t="b">
        <f aca="false">ISNUMBER(MATCH(A50,Confirmations!$A:$A,0))</f>
        <v>1</v>
      </c>
      <c r="D50" s="3" t="str">
        <f aca="false">IFERROR(INDEX(Booking!$C:$C,MATCH($A50,Booking!$A:$A,0)),"")</f>
        <v>Vale Corporate Treasury</v>
      </c>
      <c r="E50" s="3" t="str">
        <f aca="false">IFERROR(INDEX(Confirmations!$C:$C,MATCH($A50,Confirmations!$A:$A,0)),"")</f>
        <v>Vale Corporate Treasury</v>
      </c>
      <c r="F50" s="14" t="n">
        <f aca="false">IFERROR(INDEX(Booking!$D:$D,MATCH($A50,Booking!$A:$A,0)),"")</f>
        <v>36000000</v>
      </c>
      <c r="G50" s="14" t="n">
        <f aca="false">IFERROR(INDEX(Confirmations!$D:$D,MATCH($A50,Confirmations!$A:$A,0)),"")</f>
        <v>36000000</v>
      </c>
      <c r="H50" s="15" t="n">
        <f aca="false">IFERROR(INDEX(Booking!$E:$E,MATCH($A50,Booking!$A:$A,0)),"")</f>
        <v>6.763</v>
      </c>
      <c r="I50" s="15" t="n">
        <f aca="false">IFERROR(INDEX(Confirmations!$E:$E,MATCH($A50,Confirmations!$A:$A,0)),"")</f>
        <v>6.763</v>
      </c>
      <c r="J50" s="3" t="n">
        <f aca="false">IFERROR(INDEX(Booking!$F:$F,MATCH($A50,Booking!$A:$A,0)),"")</f>
        <v>3</v>
      </c>
      <c r="K50" s="3" t="n">
        <f aca="false">IFERROR(INDEX(Confirmations!$F:$F,MATCH($A50,Confirmations!$A:$A,0)),"")</f>
        <v>3</v>
      </c>
      <c r="L50" s="3" t="str">
        <f aca="false">IF(NOT(C50),"Unconfirmed",IF(NOT(B50),"Unbooked",IF(D50&lt;&gt;E50,"Counterparty",IF(ABS(F50-G50)&gt;F50*Rules!$B$4/10000,"Notional",IF(H50&lt;&gt;I50,"Rate or price",IF(J50&lt;&gt;K50,"Value date","Matched"))))))</f>
        <v>Matched</v>
      </c>
      <c r="M50" s="3" t="n">
        <f aca="false">IF(B50,INDEX(Booking!$G:$G,MATCH(A50,Booking!$A:$A,0)),INDEX(Confirmations!$G:$G,MATCH(A50,Confirmations!$A:$A,0)))</f>
        <v>6</v>
      </c>
      <c r="N50" s="13" t="b">
        <f aca="false">AND(L50&lt;&gt;"Matched",M50&gt;Rules!$B$5)</f>
        <v>0</v>
      </c>
      <c r="O50" s="3" t="str">
        <f aca="false">INDEX(Rules!$B$8:$B$14,MATCH(L50,Rules!$A$8:$A$14,0))</f>
        <v>None</v>
      </c>
    </row>
    <row r="51" customFormat="false" ht="15" hidden="false" customHeight="false" outlineLevel="0" collapsed="false">
      <c r="A51" s="3" t="s">
        <v>95</v>
      </c>
      <c r="B51" s="13" t="b">
        <f aca="false">ISNUMBER(MATCH(A51,Booking!$A:$A,0))</f>
        <v>1</v>
      </c>
      <c r="C51" s="13" t="b">
        <f aca="false">ISNUMBER(MATCH(A51,Confirmations!$A:$A,0))</f>
        <v>1</v>
      </c>
      <c r="D51" s="3" t="str">
        <f aca="false">IFERROR(INDEX(Booking!$C:$C,MATCH($A51,Booking!$A:$A,0)),"")</f>
        <v>Kestrel Macro Fund</v>
      </c>
      <c r="E51" s="3" t="str">
        <f aca="false">IFERROR(INDEX(Confirmations!$C:$C,MATCH($A51,Confirmations!$A:$A,0)),"")</f>
        <v>Kestrel Macro Fund</v>
      </c>
      <c r="F51" s="14" t="n">
        <f aca="false">IFERROR(INDEX(Booking!$D:$D,MATCH($A51,Booking!$A:$A,0)),"")</f>
        <v>33000000</v>
      </c>
      <c r="G51" s="14" t="n">
        <f aca="false">IFERROR(INDEX(Confirmations!$D:$D,MATCH($A51,Confirmations!$A:$A,0)),"")</f>
        <v>33000000</v>
      </c>
      <c r="H51" s="15" t="n">
        <f aca="false">IFERROR(INDEX(Booking!$E:$E,MATCH($A51,Booking!$A:$A,0)),"")</f>
        <v>6.9085</v>
      </c>
      <c r="I51" s="15" t="n">
        <f aca="false">IFERROR(INDEX(Confirmations!$E:$E,MATCH($A51,Confirmations!$A:$A,0)),"")</f>
        <v>6.9085</v>
      </c>
      <c r="J51" s="3" t="n">
        <f aca="false">IFERROR(INDEX(Booking!$F:$F,MATCH($A51,Booking!$A:$A,0)),"")</f>
        <v>3</v>
      </c>
      <c r="K51" s="3" t="n">
        <f aca="false">IFERROR(INDEX(Confirmations!$F:$F,MATCH($A51,Confirmations!$A:$A,0)),"")</f>
        <v>3</v>
      </c>
      <c r="L51" s="3" t="str">
        <f aca="false">IF(NOT(C51),"Unconfirmed",IF(NOT(B51),"Unbooked",IF(D51&lt;&gt;E51,"Counterparty",IF(ABS(F51-G51)&gt;F51*Rules!$B$4/10000,"Notional",IF(H51&lt;&gt;I51,"Rate or price",IF(J51&lt;&gt;K51,"Value date","Matched"))))))</f>
        <v>Matched</v>
      </c>
      <c r="M51" s="3" t="n">
        <f aca="false">IF(B51,INDEX(Booking!$G:$G,MATCH(A51,Booking!$A:$A,0)),INDEX(Confirmations!$G:$G,MATCH(A51,Confirmations!$A:$A,0)))</f>
        <v>0</v>
      </c>
      <c r="N51" s="13" t="b">
        <f aca="false">AND(L51&lt;&gt;"Matched",M51&gt;Rules!$B$5)</f>
        <v>0</v>
      </c>
      <c r="O51" s="3" t="str">
        <f aca="false">INDEX(Rules!$B$8:$B$14,MATCH(L51,Rules!$A$8:$A$14,0))</f>
        <v>None</v>
      </c>
    </row>
    <row r="52" customFormat="false" ht="15" hidden="false" customHeight="false" outlineLevel="0" collapsed="false">
      <c r="A52" s="3" t="s">
        <v>96</v>
      </c>
      <c r="B52" s="13" t="b">
        <f aca="false">ISNUMBER(MATCH(A52,Booking!$A:$A,0))</f>
        <v>1</v>
      </c>
      <c r="C52" s="13" t="b">
        <f aca="false">ISNUMBER(MATCH(A52,Confirmations!$A:$A,0))</f>
        <v>1</v>
      </c>
      <c r="D52" s="3" t="str">
        <f aca="false">IFERROR(INDEX(Booking!$C:$C,MATCH($A52,Booking!$A:$A,0)),"")</f>
        <v>Tarn Energy Trading</v>
      </c>
      <c r="E52" s="3" t="str">
        <f aca="false">IFERROR(INDEX(Confirmations!$C:$C,MATCH($A52,Confirmations!$A:$A,0)),"")</f>
        <v>Tarn Energy Trading</v>
      </c>
      <c r="F52" s="14" t="n">
        <f aca="false">IFERROR(INDEX(Booking!$D:$D,MATCH($A52,Booking!$A:$A,0)),"")</f>
        <v>36000000</v>
      </c>
      <c r="G52" s="14" t="n">
        <f aca="false">IFERROR(INDEX(Confirmations!$D:$D,MATCH($A52,Confirmations!$A:$A,0)),"")</f>
        <v>36000000</v>
      </c>
      <c r="H52" s="15" t="n">
        <f aca="false">IFERROR(INDEX(Booking!$E:$E,MATCH($A52,Booking!$A:$A,0)),"")</f>
        <v>1.3375</v>
      </c>
      <c r="I52" s="15" t="n">
        <f aca="false">IFERROR(INDEX(Confirmations!$E:$E,MATCH($A52,Confirmations!$A:$A,0)),"")</f>
        <v>1.3375</v>
      </c>
      <c r="J52" s="3" t="n">
        <f aca="false">IFERROR(INDEX(Booking!$F:$F,MATCH($A52,Booking!$A:$A,0)),"")</f>
        <v>1</v>
      </c>
      <c r="K52" s="3" t="n">
        <f aca="false">IFERROR(INDEX(Confirmations!$F:$F,MATCH($A52,Confirmations!$A:$A,0)),"")</f>
        <v>1</v>
      </c>
      <c r="L52" s="3" t="str">
        <f aca="false">IF(NOT(C52),"Unconfirmed",IF(NOT(B52),"Unbooked",IF(D52&lt;&gt;E52,"Counterparty",IF(ABS(F52-G52)&gt;F52*Rules!$B$4/10000,"Notional",IF(H52&lt;&gt;I52,"Rate or price",IF(J52&lt;&gt;K52,"Value date","Matched"))))))</f>
        <v>Matched</v>
      </c>
      <c r="M52" s="3" t="n">
        <f aca="false">IF(B52,INDEX(Booking!$G:$G,MATCH(A52,Booking!$A:$A,0)),INDEX(Confirmations!$G:$G,MATCH(A52,Confirmations!$A:$A,0)))</f>
        <v>0</v>
      </c>
      <c r="N52" s="13" t="b">
        <f aca="false">AND(L52&lt;&gt;"Matched",M52&gt;Rules!$B$5)</f>
        <v>0</v>
      </c>
      <c r="O52" s="3" t="str">
        <f aca="false">INDEX(Rules!$B$8:$B$14,MATCH(L52,Rules!$A$8:$A$14,0))</f>
        <v>None</v>
      </c>
    </row>
    <row r="53" customFormat="false" ht="15" hidden="false" customHeight="false" outlineLevel="0" collapsed="false">
      <c r="A53" s="3" t="s">
        <v>97</v>
      </c>
      <c r="B53" s="13" t="b">
        <f aca="false">ISNUMBER(MATCH(A53,Booking!$A:$A,0))</f>
        <v>1</v>
      </c>
      <c r="C53" s="13" t="b">
        <f aca="false">ISNUMBER(MATCH(A53,Confirmations!$A:$A,0))</f>
        <v>1</v>
      </c>
      <c r="D53" s="3" t="str">
        <f aca="false">IFERROR(INDEX(Booking!$C:$C,MATCH($A53,Booking!$A:$A,0)),"")</f>
        <v>Northbay Pension Fund</v>
      </c>
      <c r="E53" s="3" t="str">
        <f aca="false">IFERROR(INDEX(Confirmations!$C:$C,MATCH($A53,Confirmations!$A:$A,0)),"")</f>
        <v>Northbay Pension Fund</v>
      </c>
      <c r="F53" s="14" t="n">
        <f aca="false">IFERROR(INDEX(Booking!$D:$D,MATCH($A53,Booking!$A:$A,0)),"")</f>
        <v>18000000</v>
      </c>
      <c r="G53" s="14" t="n">
        <f aca="false">IFERROR(INDEX(Confirmations!$D:$D,MATCH($A53,Confirmations!$A:$A,0)),"")</f>
        <v>18000000</v>
      </c>
      <c r="H53" s="15" t="n">
        <f aca="false">IFERROR(INDEX(Booking!$E:$E,MATCH($A53,Booking!$A:$A,0)),"")</f>
        <v>3.6273</v>
      </c>
      <c r="I53" s="15" t="n">
        <f aca="false">IFERROR(INDEX(Confirmations!$E:$E,MATCH($A53,Confirmations!$A:$A,0)),"")</f>
        <v>3.6273</v>
      </c>
      <c r="J53" s="3" t="n">
        <f aca="false">IFERROR(INDEX(Booking!$F:$F,MATCH($A53,Booking!$A:$A,0)),"")</f>
        <v>2</v>
      </c>
      <c r="K53" s="3" t="n">
        <f aca="false">IFERROR(INDEX(Confirmations!$F:$F,MATCH($A53,Confirmations!$A:$A,0)),"")</f>
        <v>2</v>
      </c>
      <c r="L53" s="3" t="str">
        <f aca="false">IF(NOT(C53),"Unconfirmed",IF(NOT(B53),"Unbooked",IF(D53&lt;&gt;E53,"Counterparty",IF(ABS(F53-G53)&gt;F53*Rules!$B$4/10000,"Notional",IF(H53&lt;&gt;I53,"Rate or price",IF(J53&lt;&gt;K53,"Value date","Matched"))))))</f>
        <v>Matched</v>
      </c>
      <c r="M53" s="3" t="n">
        <f aca="false">IF(B53,INDEX(Booking!$G:$G,MATCH(A53,Booking!$A:$A,0)),INDEX(Confirmations!$G:$G,MATCH(A53,Confirmations!$A:$A,0)))</f>
        <v>0</v>
      </c>
      <c r="N53" s="13" t="b">
        <f aca="false">AND(L53&lt;&gt;"Matched",M53&gt;Rules!$B$5)</f>
        <v>0</v>
      </c>
      <c r="O53" s="3" t="str">
        <f aca="false">INDEX(Rules!$B$8:$B$14,MATCH(L53,Rules!$A$8:$A$14,0))</f>
        <v>None</v>
      </c>
    </row>
    <row r="54" customFormat="false" ht="15" hidden="false" customHeight="false" outlineLevel="0" collapsed="false">
      <c r="A54" s="3" t="s">
        <v>98</v>
      </c>
      <c r="B54" s="13" t="b">
        <f aca="false">ISNUMBER(MATCH(A54,Booking!$A:$A,0))</f>
        <v>1</v>
      </c>
      <c r="C54" s="13" t="b">
        <f aca="false">ISNUMBER(MATCH(A54,Confirmations!$A:$A,0))</f>
        <v>1</v>
      </c>
      <c r="D54" s="3" t="str">
        <f aca="false">IFERROR(INDEX(Booking!$C:$C,MATCH($A54,Booking!$A:$A,0)),"")</f>
        <v>Tarn Energy Trading</v>
      </c>
      <c r="E54" s="3" t="str">
        <f aca="false">IFERROR(INDEX(Confirmations!$C:$C,MATCH($A54,Confirmations!$A:$A,0)),"")</f>
        <v>Tarn Energy Trading</v>
      </c>
      <c r="F54" s="14" t="n">
        <f aca="false">IFERROR(INDEX(Booking!$D:$D,MATCH($A54,Booking!$A:$A,0)),"")</f>
        <v>34000000</v>
      </c>
      <c r="G54" s="14" t="n">
        <f aca="false">IFERROR(INDEX(Confirmations!$D:$D,MATCH($A54,Confirmations!$A:$A,0)),"")</f>
        <v>34000000</v>
      </c>
      <c r="H54" s="15" t="n">
        <f aca="false">IFERROR(INDEX(Booking!$E:$E,MATCH($A54,Booking!$A:$A,0)),"")</f>
        <v>3.4991</v>
      </c>
      <c r="I54" s="15" t="n">
        <f aca="false">IFERROR(INDEX(Confirmations!$E:$E,MATCH($A54,Confirmations!$A:$A,0)),"")</f>
        <v>3.4991</v>
      </c>
      <c r="J54" s="3" t="n">
        <f aca="false">IFERROR(INDEX(Booking!$F:$F,MATCH($A54,Booking!$A:$A,0)),"")</f>
        <v>2</v>
      </c>
      <c r="K54" s="3" t="n">
        <f aca="false">IFERROR(INDEX(Confirmations!$F:$F,MATCH($A54,Confirmations!$A:$A,0)),"")</f>
        <v>2</v>
      </c>
      <c r="L54" s="3" t="str">
        <f aca="false">IF(NOT(C54),"Unconfirmed",IF(NOT(B54),"Unbooked",IF(D54&lt;&gt;E54,"Counterparty",IF(ABS(F54-G54)&gt;F54*Rules!$B$4/10000,"Notional",IF(H54&lt;&gt;I54,"Rate or price",IF(J54&lt;&gt;K54,"Value date","Matched"))))))</f>
        <v>Matched</v>
      </c>
      <c r="M54" s="3" t="n">
        <f aca="false">IF(B54,INDEX(Booking!$G:$G,MATCH(A54,Booking!$A:$A,0)),INDEX(Confirmations!$G:$G,MATCH(A54,Confirmations!$A:$A,0)))</f>
        <v>0</v>
      </c>
      <c r="N54" s="13" t="b">
        <f aca="false">AND(L54&lt;&gt;"Matched",M54&gt;Rules!$B$5)</f>
        <v>0</v>
      </c>
      <c r="O54" s="3" t="str">
        <f aca="false">INDEX(Rules!$B$8:$B$14,MATCH(L54,Rules!$A$8:$A$14,0))</f>
        <v>None</v>
      </c>
    </row>
    <row r="55" customFormat="false" ht="15" hidden="false" customHeight="false" outlineLevel="0" collapsed="false">
      <c r="A55" s="3" t="s">
        <v>99</v>
      </c>
      <c r="B55" s="13" t="b">
        <f aca="false">ISNUMBER(MATCH(A55,Booking!$A:$A,0))</f>
        <v>1</v>
      </c>
      <c r="C55" s="13" t="b">
        <f aca="false">ISNUMBER(MATCH(A55,Confirmations!$A:$A,0))</f>
        <v>1</v>
      </c>
      <c r="D55" s="3" t="str">
        <f aca="false">IFERROR(INDEX(Booking!$C:$C,MATCH($A55,Booking!$A:$A,0)),"")</f>
        <v>Aldridge Capital</v>
      </c>
      <c r="E55" s="3" t="str">
        <f aca="false">IFERROR(INDEX(Confirmations!$C:$C,MATCH($A55,Confirmations!$A:$A,0)),"")</f>
        <v>Aldridge Capital</v>
      </c>
      <c r="F55" s="14" t="n">
        <f aca="false">IFERROR(INDEX(Booking!$D:$D,MATCH($A55,Booking!$A:$A,0)),"")</f>
        <v>37000000</v>
      </c>
      <c r="G55" s="14" t="n">
        <f aca="false">IFERROR(INDEX(Confirmations!$D:$D,MATCH($A55,Confirmations!$A:$A,0)),"")</f>
        <v>37000000</v>
      </c>
      <c r="H55" s="15" t="n">
        <f aca="false">IFERROR(INDEX(Booking!$E:$E,MATCH($A55,Booking!$A:$A,0)),"")</f>
        <v>4.2527</v>
      </c>
      <c r="I55" s="15" t="n">
        <f aca="false">IFERROR(INDEX(Confirmations!$E:$E,MATCH($A55,Confirmations!$A:$A,0)),"")</f>
        <v>4.2527</v>
      </c>
      <c r="J55" s="3" t="n">
        <f aca="false">IFERROR(INDEX(Booking!$F:$F,MATCH($A55,Booking!$A:$A,0)),"")</f>
        <v>1</v>
      </c>
      <c r="K55" s="3" t="n">
        <f aca="false">IFERROR(INDEX(Confirmations!$F:$F,MATCH($A55,Confirmations!$A:$A,0)),"")</f>
        <v>1</v>
      </c>
      <c r="L55" s="3" t="str">
        <f aca="false">IF(NOT(C55),"Unconfirmed",IF(NOT(B55),"Unbooked",IF(D55&lt;&gt;E55,"Counterparty",IF(ABS(F55-G55)&gt;F55*Rules!$B$4/10000,"Notional",IF(H55&lt;&gt;I55,"Rate or price",IF(J55&lt;&gt;K55,"Value date","Matched"))))))</f>
        <v>Matched</v>
      </c>
      <c r="M55" s="3" t="n">
        <f aca="false">IF(B55,INDEX(Booking!$G:$G,MATCH(A55,Booking!$A:$A,0)),INDEX(Confirmations!$G:$G,MATCH(A55,Confirmations!$A:$A,0)))</f>
        <v>0</v>
      </c>
      <c r="N55" s="13" t="b">
        <f aca="false">AND(L55&lt;&gt;"Matched",M55&gt;Rules!$B$5)</f>
        <v>0</v>
      </c>
      <c r="O55" s="3" t="str">
        <f aca="false">INDEX(Rules!$B$8:$B$14,MATCH(L55,Rules!$A$8:$A$14,0))</f>
        <v>None</v>
      </c>
    </row>
    <row r="56" customFormat="false" ht="15" hidden="false" customHeight="false" outlineLevel="0" collapsed="false">
      <c r="A56" s="3" t="s">
        <v>100</v>
      </c>
      <c r="B56" s="13" t="b">
        <f aca="false">ISNUMBER(MATCH(A56,Booking!$A:$A,0))</f>
        <v>1</v>
      </c>
      <c r="C56" s="13" t="b">
        <f aca="false">ISNUMBER(MATCH(A56,Confirmations!$A:$A,0))</f>
        <v>1</v>
      </c>
      <c r="D56" s="3" t="str">
        <f aca="false">IFERROR(INDEX(Booking!$C:$C,MATCH($A56,Booking!$A:$A,0)),"")</f>
        <v>Tarn Energy Trading</v>
      </c>
      <c r="E56" s="3" t="str">
        <f aca="false">IFERROR(INDEX(Confirmations!$C:$C,MATCH($A56,Confirmations!$A:$A,0)),"")</f>
        <v>Tarn Energy Trading</v>
      </c>
      <c r="F56" s="14" t="n">
        <f aca="false">IFERROR(INDEX(Booking!$D:$D,MATCH($A56,Booking!$A:$A,0)),"")</f>
        <v>24000000</v>
      </c>
      <c r="G56" s="14" t="n">
        <f aca="false">IFERROR(INDEX(Confirmations!$D:$D,MATCH($A56,Confirmations!$A:$A,0)),"")</f>
        <v>24000000</v>
      </c>
      <c r="H56" s="15" t="n">
        <f aca="false">IFERROR(INDEX(Booking!$E:$E,MATCH($A56,Booking!$A:$A,0)),"")</f>
        <v>3.5208</v>
      </c>
      <c r="I56" s="15" t="n">
        <f aca="false">IFERROR(INDEX(Confirmations!$E:$E,MATCH($A56,Confirmations!$A:$A,0)),"")</f>
        <v>3.5208</v>
      </c>
      <c r="J56" s="3" t="n">
        <f aca="false">IFERROR(INDEX(Booking!$F:$F,MATCH($A56,Booking!$A:$A,0)),"")</f>
        <v>3</v>
      </c>
      <c r="K56" s="3" t="n">
        <f aca="false">IFERROR(INDEX(Confirmations!$F:$F,MATCH($A56,Confirmations!$A:$A,0)),"")</f>
        <v>3</v>
      </c>
      <c r="L56" s="3" t="str">
        <f aca="false">IF(NOT(C56),"Unconfirmed",IF(NOT(B56),"Unbooked",IF(D56&lt;&gt;E56,"Counterparty",IF(ABS(F56-G56)&gt;F56*Rules!$B$4/10000,"Notional",IF(H56&lt;&gt;I56,"Rate or price",IF(J56&lt;&gt;K56,"Value date","Matched"))))))</f>
        <v>Matched</v>
      </c>
      <c r="M56" s="3" t="n">
        <f aca="false">IF(B56,INDEX(Booking!$G:$G,MATCH(A56,Booking!$A:$A,0)),INDEX(Confirmations!$G:$G,MATCH(A56,Confirmations!$A:$A,0)))</f>
        <v>1</v>
      </c>
      <c r="N56" s="13" t="b">
        <f aca="false">AND(L56&lt;&gt;"Matched",M56&gt;Rules!$B$5)</f>
        <v>0</v>
      </c>
      <c r="O56" s="3" t="str">
        <f aca="false">INDEX(Rules!$B$8:$B$14,MATCH(L56,Rules!$A$8:$A$14,0))</f>
        <v>None</v>
      </c>
    </row>
    <row r="57" customFormat="false" ht="15" hidden="false" customHeight="false" outlineLevel="0" collapsed="false">
      <c r="A57" s="3" t="s">
        <v>101</v>
      </c>
      <c r="B57" s="13" t="b">
        <f aca="false">ISNUMBER(MATCH(A57,Booking!$A:$A,0))</f>
        <v>1</v>
      </c>
      <c r="C57" s="13" t="b">
        <f aca="false">ISNUMBER(MATCH(A57,Confirmations!$A:$A,0))</f>
        <v>1</v>
      </c>
      <c r="D57" s="3" t="str">
        <f aca="false">IFERROR(INDEX(Booking!$C:$C,MATCH($A57,Booking!$A:$A,0)),"")</f>
        <v>Vale Corporate Treasury</v>
      </c>
      <c r="E57" s="3" t="str">
        <f aca="false">IFERROR(INDEX(Confirmations!$C:$C,MATCH($A57,Confirmations!$A:$A,0)),"")</f>
        <v>Vale Corporate Treasury</v>
      </c>
      <c r="F57" s="14" t="n">
        <f aca="false">IFERROR(INDEX(Booking!$D:$D,MATCH($A57,Booking!$A:$A,0)),"")</f>
        <v>15000000</v>
      </c>
      <c r="G57" s="14" t="n">
        <f aca="false">IFERROR(INDEX(Confirmations!$D:$D,MATCH($A57,Confirmations!$A:$A,0)),"")</f>
        <v>15000000</v>
      </c>
      <c r="H57" s="15" t="n">
        <f aca="false">IFERROR(INDEX(Booking!$E:$E,MATCH($A57,Booking!$A:$A,0)),"")</f>
        <v>2.575</v>
      </c>
      <c r="I57" s="15" t="n">
        <f aca="false">IFERROR(INDEX(Confirmations!$E:$E,MATCH($A57,Confirmations!$A:$A,0)),"")</f>
        <v>2.575</v>
      </c>
      <c r="J57" s="3" t="n">
        <f aca="false">IFERROR(INDEX(Booking!$F:$F,MATCH($A57,Booking!$A:$A,0)),"")</f>
        <v>1</v>
      </c>
      <c r="K57" s="3" t="n">
        <f aca="false">IFERROR(INDEX(Confirmations!$F:$F,MATCH($A57,Confirmations!$A:$A,0)),"")</f>
        <v>1</v>
      </c>
      <c r="L57" s="3" t="str">
        <f aca="false">IF(NOT(C57),"Unconfirmed",IF(NOT(B57),"Unbooked",IF(D57&lt;&gt;E57,"Counterparty",IF(ABS(F57-G57)&gt;F57*Rules!$B$4/10000,"Notional",IF(H57&lt;&gt;I57,"Rate or price",IF(J57&lt;&gt;K57,"Value date","Matched"))))))</f>
        <v>Matched</v>
      </c>
      <c r="M57" s="3" t="n">
        <f aca="false">IF(B57,INDEX(Booking!$G:$G,MATCH(A57,Booking!$A:$A,0)),INDEX(Confirmations!$G:$G,MATCH(A57,Confirmations!$A:$A,0)))</f>
        <v>0</v>
      </c>
      <c r="N57" s="13" t="b">
        <f aca="false">AND(L57&lt;&gt;"Matched",M57&gt;Rules!$B$5)</f>
        <v>0</v>
      </c>
      <c r="O57" s="3" t="str">
        <f aca="false">INDEX(Rules!$B$8:$B$14,MATCH(L57,Rules!$A$8:$A$14,0))</f>
        <v>None</v>
      </c>
    </row>
    <row r="58" customFormat="false" ht="15" hidden="false" customHeight="false" outlineLevel="0" collapsed="false">
      <c r="A58" s="3" t="s">
        <v>102</v>
      </c>
      <c r="B58" s="13" t="b">
        <f aca="false">ISNUMBER(MATCH(A58,Booking!$A:$A,0))</f>
        <v>1</v>
      </c>
      <c r="C58" s="13" t="b">
        <f aca="false">ISNUMBER(MATCH(A58,Confirmations!$A:$A,0))</f>
        <v>1</v>
      </c>
      <c r="D58" s="3" t="str">
        <f aca="false">IFERROR(INDEX(Booking!$C:$C,MATCH($A58,Booking!$A:$A,0)),"")</f>
        <v>Meridian Bank</v>
      </c>
      <c r="E58" s="3" t="str">
        <f aca="false">IFERROR(INDEX(Confirmations!$C:$C,MATCH($A58,Confirmations!$A:$A,0)),"")</f>
        <v>Meridian Bank</v>
      </c>
      <c r="F58" s="14" t="n">
        <f aca="false">IFERROR(INDEX(Booking!$D:$D,MATCH($A58,Booking!$A:$A,0)),"")</f>
        <v>19000000</v>
      </c>
      <c r="G58" s="14" t="n">
        <f aca="false">IFERROR(INDEX(Confirmations!$D:$D,MATCH($A58,Confirmations!$A:$A,0)),"")</f>
        <v>19000000</v>
      </c>
      <c r="H58" s="15" t="n">
        <f aca="false">IFERROR(INDEX(Booking!$E:$E,MATCH($A58,Booking!$A:$A,0)),"")</f>
        <v>1.2118</v>
      </c>
      <c r="I58" s="15" t="n">
        <f aca="false">IFERROR(INDEX(Confirmations!$E:$E,MATCH($A58,Confirmations!$A:$A,0)),"")</f>
        <v>1.2118</v>
      </c>
      <c r="J58" s="3" t="n">
        <f aca="false">IFERROR(INDEX(Booking!$F:$F,MATCH($A58,Booking!$A:$A,0)),"")</f>
        <v>1</v>
      </c>
      <c r="K58" s="3" t="n">
        <f aca="false">IFERROR(INDEX(Confirmations!$F:$F,MATCH($A58,Confirmations!$A:$A,0)),"")</f>
        <v>1</v>
      </c>
      <c r="L58" s="3" t="str">
        <f aca="false">IF(NOT(C58),"Unconfirmed",IF(NOT(B58),"Unbooked",IF(D58&lt;&gt;E58,"Counterparty",IF(ABS(F58-G58)&gt;F58*Rules!$B$4/10000,"Notional",IF(H58&lt;&gt;I58,"Rate or price",IF(J58&lt;&gt;K58,"Value date","Matched"))))))</f>
        <v>Matched</v>
      </c>
      <c r="M58" s="3" t="n">
        <f aca="false">IF(B58,INDEX(Booking!$G:$G,MATCH(A58,Booking!$A:$A,0)),INDEX(Confirmations!$G:$G,MATCH(A58,Confirmations!$A:$A,0)))</f>
        <v>6</v>
      </c>
      <c r="N58" s="13" t="b">
        <f aca="false">AND(L58&lt;&gt;"Matched",M58&gt;Rules!$B$5)</f>
        <v>0</v>
      </c>
      <c r="O58" s="3" t="str">
        <f aca="false">INDEX(Rules!$B$8:$B$14,MATCH(L58,Rules!$A$8:$A$14,0))</f>
        <v>None</v>
      </c>
    </row>
    <row r="59" customFormat="false" ht="15" hidden="false" customHeight="false" outlineLevel="0" collapsed="false">
      <c r="A59" s="3" t="s">
        <v>103</v>
      </c>
      <c r="B59" s="13" t="b">
        <f aca="false">ISNUMBER(MATCH(A59,Booking!$A:$A,0))</f>
        <v>1</v>
      </c>
      <c r="C59" s="13" t="b">
        <f aca="false">ISNUMBER(MATCH(A59,Confirmations!$A:$A,0))</f>
        <v>1</v>
      </c>
      <c r="D59" s="3" t="str">
        <f aca="false">IFERROR(INDEX(Booking!$C:$C,MATCH($A59,Booking!$A:$A,0)),"")</f>
        <v>Meridian Bank</v>
      </c>
      <c r="E59" s="3" t="str">
        <f aca="false">IFERROR(INDEX(Confirmations!$C:$C,MATCH($A59,Confirmations!$A:$A,0)),"")</f>
        <v>Meridian Bank</v>
      </c>
      <c r="F59" s="14" t="n">
        <f aca="false">IFERROR(INDEX(Booking!$D:$D,MATCH($A59,Booking!$A:$A,0)),"")</f>
        <v>9000000</v>
      </c>
      <c r="G59" s="14" t="n">
        <f aca="false">IFERROR(INDEX(Confirmations!$D:$D,MATCH($A59,Confirmations!$A:$A,0)),"")</f>
        <v>9000000</v>
      </c>
      <c r="H59" s="15" t="n">
        <f aca="false">IFERROR(INDEX(Booking!$E:$E,MATCH($A59,Booking!$A:$A,0)),"")</f>
        <v>1.8104</v>
      </c>
      <c r="I59" s="15" t="n">
        <f aca="false">IFERROR(INDEX(Confirmations!$E:$E,MATCH($A59,Confirmations!$A:$A,0)),"")</f>
        <v>1.8104</v>
      </c>
      <c r="J59" s="3" t="n">
        <f aca="false">IFERROR(INDEX(Booking!$F:$F,MATCH($A59,Booking!$A:$A,0)),"")</f>
        <v>3</v>
      </c>
      <c r="K59" s="3" t="n">
        <f aca="false">IFERROR(INDEX(Confirmations!$F:$F,MATCH($A59,Confirmations!$A:$A,0)),"")</f>
        <v>3</v>
      </c>
      <c r="L59" s="3" t="str">
        <f aca="false">IF(NOT(C59),"Unconfirmed",IF(NOT(B59),"Unbooked",IF(D59&lt;&gt;E59,"Counterparty",IF(ABS(F59-G59)&gt;F59*Rules!$B$4/10000,"Notional",IF(H59&lt;&gt;I59,"Rate or price",IF(J59&lt;&gt;K59,"Value date","Matched"))))))</f>
        <v>Matched</v>
      </c>
      <c r="M59" s="3" t="n">
        <f aca="false">IF(B59,INDEX(Booking!$G:$G,MATCH(A59,Booking!$A:$A,0)),INDEX(Confirmations!$G:$G,MATCH(A59,Confirmations!$A:$A,0)))</f>
        <v>0</v>
      </c>
      <c r="N59" s="13" t="b">
        <f aca="false">AND(L59&lt;&gt;"Matched",M59&gt;Rules!$B$5)</f>
        <v>0</v>
      </c>
      <c r="O59" s="3" t="str">
        <f aca="false">INDEX(Rules!$B$8:$B$14,MATCH(L59,Rules!$A$8:$A$14,0))</f>
        <v>None</v>
      </c>
    </row>
    <row r="60" customFormat="false" ht="15" hidden="false" customHeight="false" outlineLevel="0" collapsed="false">
      <c r="A60" s="3" t="s">
        <v>104</v>
      </c>
      <c r="B60" s="13" t="b">
        <f aca="false">ISNUMBER(MATCH(A60,Booking!$A:$A,0))</f>
        <v>1</v>
      </c>
      <c r="C60" s="13" t="b">
        <f aca="false">ISNUMBER(MATCH(A60,Confirmations!$A:$A,0))</f>
        <v>1</v>
      </c>
      <c r="D60" s="3" t="str">
        <f aca="false">IFERROR(INDEX(Booking!$C:$C,MATCH($A60,Booking!$A:$A,0)),"")</f>
        <v>Tarn Energy Trading</v>
      </c>
      <c r="E60" s="3" t="str">
        <f aca="false">IFERROR(INDEX(Confirmations!$C:$C,MATCH($A60,Confirmations!$A:$A,0)),"")</f>
        <v>Tarn Energy Trading</v>
      </c>
      <c r="F60" s="14" t="n">
        <f aca="false">IFERROR(INDEX(Booking!$D:$D,MATCH($A60,Booking!$A:$A,0)),"")</f>
        <v>43000000</v>
      </c>
      <c r="G60" s="14" t="n">
        <f aca="false">IFERROR(INDEX(Confirmations!$D:$D,MATCH($A60,Confirmations!$A:$A,0)),"")</f>
        <v>43000000</v>
      </c>
      <c r="H60" s="15" t="n">
        <f aca="false">IFERROR(INDEX(Booking!$E:$E,MATCH($A60,Booking!$A:$A,0)),"")</f>
        <v>2.6772</v>
      </c>
      <c r="I60" s="15" t="n">
        <f aca="false">IFERROR(INDEX(Confirmations!$E:$E,MATCH($A60,Confirmations!$A:$A,0)),"")</f>
        <v>2.6772</v>
      </c>
      <c r="J60" s="3" t="n">
        <f aca="false">IFERROR(INDEX(Booking!$F:$F,MATCH($A60,Booking!$A:$A,0)),"")</f>
        <v>2</v>
      </c>
      <c r="K60" s="3" t="n">
        <f aca="false">IFERROR(INDEX(Confirmations!$F:$F,MATCH($A60,Confirmations!$A:$A,0)),"")</f>
        <v>2</v>
      </c>
      <c r="L60" s="3" t="str">
        <f aca="false">IF(NOT(C60),"Unconfirmed",IF(NOT(B60),"Unbooked",IF(D60&lt;&gt;E60,"Counterparty",IF(ABS(F60-G60)&gt;F60*Rules!$B$4/10000,"Notional",IF(H60&lt;&gt;I60,"Rate or price",IF(J60&lt;&gt;K60,"Value date","Matched"))))))</f>
        <v>Matched</v>
      </c>
      <c r="M60" s="3" t="n">
        <f aca="false">IF(B60,INDEX(Booking!$G:$G,MATCH(A60,Booking!$A:$A,0)),INDEX(Confirmations!$G:$G,MATCH(A60,Confirmations!$A:$A,0)))</f>
        <v>3</v>
      </c>
      <c r="N60" s="13" t="b">
        <f aca="false">AND(L60&lt;&gt;"Matched",M60&gt;Rules!$B$5)</f>
        <v>0</v>
      </c>
      <c r="O60" s="3" t="str">
        <f aca="false">INDEX(Rules!$B$8:$B$14,MATCH(L60,Rules!$A$8:$A$14,0))</f>
        <v>None</v>
      </c>
    </row>
    <row r="61" customFormat="false" ht="15" hidden="false" customHeight="false" outlineLevel="0" collapsed="false">
      <c r="A61" s="3" t="s">
        <v>105</v>
      </c>
      <c r="B61" s="13" t="b">
        <f aca="false">ISNUMBER(MATCH(A61,Booking!$A:$A,0))</f>
        <v>1</v>
      </c>
      <c r="C61" s="13" t="b">
        <f aca="false">ISNUMBER(MATCH(A61,Confirmations!$A:$A,0))</f>
        <v>1</v>
      </c>
      <c r="D61" s="3" t="str">
        <f aca="false">IFERROR(INDEX(Booking!$C:$C,MATCH($A61,Booking!$A:$A,0)),"")</f>
        <v>Northbay Pension Fund</v>
      </c>
      <c r="E61" s="3" t="str">
        <f aca="false">IFERROR(INDEX(Confirmations!$C:$C,MATCH($A61,Confirmations!$A:$A,0)),"")</f>
        <v>Northbay Pension Fund</v>
      </c>
      <c r="F61" s="14" t="n">
        <f aca="false">IFERROR(INDEX(Booking!$D:$D,MATCH($A61,Booking!$A:$A,0)),"")</f>
        <v>40000000</v>
      </c>
      <c r="G61" s="14" t="n">
        <f aca="false">IFERROR(INDEX(Confirmations!$D:$D,MATCH($A61,Confirmations!$A:$A,0)),"")</f>
        <v>40000000</v>
      </c>
      <c r="H61" s="15" t="n">
        <f aca="false">IFERROR(INDEX(Booking!$E:$E,MATCH($A61,Booking!$A:$A,0)),"")</f>
        <v>2.075</v>
      </c>
      <c r="I61" s="15" t="n">
        <f aca="false">IFERROR(INDEX(Confirmations!$E:$E,MATCH($A61,Confirmations!$A:$A,0)),"")</f>
        <v>2.075</v>
      </c>
      <c r="J61" s="3" t="n">
        <f aca="false">IFERROR(INDEX(Booking!$F:$F,MATCH($A61,Booking!$A:$A,0)),"")</f>
        <v>3</v>
      </c>
      <c r="K61" s="3" t="n">
        <f aca="false">IFERROR(INDEX(Confirmations!$F:$F,MATCH($A61,Confirmations!$A:$A,0)),"")</f>
        <v>3</v>
      </c>
      <c r="L61" s="3" t="str">
        <f aca="false">IF(NOT(C61),"Unconfirmed",IF(NOT(B61),"Unbooked",IF(D61&lt;&gt;E61,"Counterparty",IF(ABS(F61-G61)&gt;F61*Rules!$B$4/10000,"Notional",IF(H61&lt;&gt;I61,"Rate or price",IF(J61&lt;&gt;K61,"Value date","Matched"))))))</f>
        <v>Matched</v>
      </c>
      <c r="M61" s="3" t="n">
        <f aca="false">IF(B61,INDEX(Booking!$G:$G,MATCH(A61,Booking!$A:$A,0)),INDEX(Confirmations!$G:$G,MATCH(A61,Confirmations!$A:$A,0)))</f>
        <v>2</v>
      </c>
      <c r="N61" s="13" t="b">
        <f aca="false">AND(L61&lt;&gt;"Matched",M61&gt;Rules!$B$5)</f>
        <v>0</v>
      </c>
      <c r="O61" s="3" t="str">
        <f aca="false">INDEX(Rules!$B$8:$B$14,MATCH(L61,Rules!$A$8:$A$14,0))</f>
        <v>None</v>
      </c>
    </row>
    <row r="62" customFormat="false" ht="15" hidden="false" customHeight="false" outlineLevel="0" collapsed="false">
      <c r="A62" s="3" t="s">
        <v>106</v>
      </c>
      <c r="B62" s="13" t="b">
        <f aca="false">ISNUMBER(MATCH(A62,Booking!$A:$A,0))</f>
        <v>1</v>
      </c>
      <c r="C62" s="13" t="b">
        <f aca="false">ISNUMBER(MATCH(A62,Confirmations!$A:$A,0))</f>
        <v>1</v>
      </c>
      <c r="D62" s="3" t="str">
        <f aca="false">IFERROR(INDEX(Booking!$C:$C,MATCH($A62,Booking!$A:$A,0)),"")</f>
        <v>Solent Asset Management</v>
      </c>
      <c r="E62" s="3" t="str">
        <f aca="false">IFERROR(INDEX(Confirmations!$C:$C,MATCH($A62,Confirmations!$A:$A,0)),"")</f>
        <v>Solent Asset Management</v>
      </c>
      <c r="F62" s="14" t="n">
        <f aca="false">IFERROR(INDEX(Booking!$D:$D,MATCH($A62,Booking!$A:$A,0)),"")</f>
        <v>26000000</v>
      </c>
      <c r="G62" s="14" t="n">
        <f aca="false">IFERROR(INDEX(Confirmations!$D:$D,MATCH($A62,Confirmations!$A:$A,0)),"")</f>
        <v>26000000</v>
      </c>
      <c r="H62" s="15" t="n">
        <f aca="false">IFERROR(INDEX(Booking!$E:$E,MATCH($A62,Booking!$A:$A,0)),"")</f>
        <v>4.0794</v>
      </c>
      <c r="I62" s="15" t="n">
        <f aca="false">IFERROR(INDEX(Confirmations!$E:$E,MATCH($A62,Confirmations!$A:$A,0)),"")</f>
        <v>4.0794</v>
      </c>
      <c r="J62" s="3" t="n">
        <f aca="false">IFERROR(INDEX(Booking!$F:$F,MATCH($A62,Booking!$A:$A,0)),"")</f>
        <v>2</v>
      </c>
      <c r="K62" s="3" t="n">
        <f aca="false">IFERROR(INDEX(Confirmations!$F:$F,MATCH($A62,Confirmations!$A:$A,0)),"")</f>
        <v>2</v>
      </c>
      <c r="L62" s="3" t="str">
        <f aca="false">IF(NOT(C62),"Unconfirmed",IF(NOT(B62),"Unbooked",IF(D62&lt;&gt;E62,"Counterparty",IF(ABS(F62-G62)&gt;F62*Rules!$B$4/10000,"Notional",IF(H62&lt;&gt;I62,"Rate or price",IF(J62&lt;&gt;K62,"Value date","Matched"))))))</f>
        <v>Matched</v>
      </c>
      <c r="M62" s="3" t="n">
        <f aca="false">IF(B62,INDEX(Booking!$G:$G,MATCH(A62,Booking!$A:$A,0)),INDEX(Confirmations!$G:$G,MATCH(A62,Confirmations!$A:$A,0)))</f>
        <v>3</v>
      </c>
      <c r="N62" s="13" t="b">
        <f aca="false">AND(L62&lt;&gt;"Matched",M62&gt;Rules!$B$5)</f>
        <v>0</v>
      </c>
      <c r="O62" s="3" t="str">
        <f aca="false">INDEX(Rules!$B$8:$B$14,MATCH(L62,Rules!$A$8:$A$14,0))</f>
        <v>None</v>
      </c>
    </row>
    <row r="63" customFormat="false" ht="15" hidden="false" customHeight="false" outlineLevel="0" collapsed="false">
      <c r="A63" s="3" t="s">
        <v>107</v>
      </c>
      <c r="B63" s="13" t="b">
        <f aca="false">ISNUMBER(MATCH(A63,Booking!$A:$A,0))</f>
        <v>1</v>
      </c>
      <c r="C63" s="13" t="b">
        <f aca="false">ISNUMBER(MATCH(A63,Confirmations!$A:$A,0))</f>
        <v>0</v>
      </c>
      <c r="D63" s="3" t="str">
        <f aca="false">IFERROR(INDEX(Booking!$C:$C,MATCH($A63,Booking!$A:$A,0)),"")</f>
        <v>Tarn Energy Trading</v>
      </c>
      <c r="E63" s="3" t="str">
        <f aca="false">IFERROR(INDEX(Confirmations!$C:$C,MATCH($A63,Confirmations!$A:$A,0)),"")</f>
        <v/>
      </c>
      <c r="F63" s="14" t="n">
        <f aca="false">IFERROR(INDEX(Booking!$D:$D,MATCH($A63,Booking!$A:$A,0)),"")</f>
        <v>47000000</v>
      </c>
      <c r="G63" s="14" t="str">
        <f aca="false">IFERROR(INDEX(Confirmations!$D:$D,MATCH($A63,Confirmations!$A:$A,0)),"")</f>
        <v/>
      </c>
      <c r="H63" s="15" t="n">
        <f aca="false">IFERROR(INDEX(Booking!$E:$E,MATCH($A63,Booking!$A:$A,0)),"")</f>
        <v>4.9336</v>
      </c>
      <c r="I63" s="15" t="str">
        <f aca="false">IFERROR(INDEX(Confirmations!$E:$E,MATCH($A63,Confirmations!$A:$A,0)),"")</f>
        <v/>
      </c>
      <c r="J63" s="3" t="n">
        <f aca="false">IFERROR(INDEX(Booking!$F:$F,MATCH($A63,Booking!$A:$A,0)),"")</f>
        <v>1</v>
      </c>
      <c r="K63" s="3" t="str">
        <f aca="false">IFERROR(INDEX(Confirmations!$F:$F,MATCH($A63,Confirmations!$A:$A,0)),"")</f>
        <v/>
      </c>
      <c r="L63" s="3" t="str">
        <f aca="false">IF(NOT(C63),"Unconfirmed",IF(NOT(B63),"Unbooked",IF(D63&lt;&gt;E63,"Counterparty",IF(ABS(F63-G63)&gt;F63*Rules!$B$4/10000,"Notional",IF(H63&lt;&gt;I63,"Rate or price",IF(J63&lt;&gt;K63,"Value date","Matched"))))))</f>
        <v>Unconfirmed</v>
      </c>
      <c r="M63" s="3" t="n">
        <f aca="false">IF(B63,INDEX(Booking!$G:$G,MATCH(A63,Booking!$A:$A,0)),INDEX(Confirmations!$G:$G,MATCH(A63,Confirmations!$A:$A,0)))</f>
        <v>8</v>
      </c>
      <c r="N63" s="13" t="b">
        <f aca="false">AND(L63&lt;&gt;"Matched",M63&gt;Rules!$B$5)</f>
        <v>1</v>
      </c>
      <c r="O63" s="3" t="str">
        <f aca="false">INDEX(Rules!$B$8:$B$14,MATCH(L63,Rules!$A$8:$A$14,0))</f>
        <v>Confirmations team: chase counterparty</v>
      </c>
    </row>
    <row r="64" customFormat="false" ht="15" hidden="false" customHeight="false" outlineLevel="0" collapsed="false">
      <c r="A64" s="3" t="s">
        <v>108</v>
      </c>
      <c r="B64" s="13" t="b">
        <f aca="false">ISNUMBER(MATCH(A64,Booking!$A:$A,0))</f>
        <v>1</v>
      </c>
      <c r="C64" s="13" t="b">
        <f aca="false">ISNUMBER(MATCH(A64,Confirmations!$A:$A,0))</f>
        <v>1</v>
      </c>
      <c r="D64" s="3" t="str">
        <f aca="false">IFERROR(INDEX(Booking!$C:$C,MATCH($A64,Booking!$A:$A,0)),"")</f>
        <v>Aldridge Capital</v>
      </c>
      <c r="E64" s="3" t="str">
        <f aca="false">IFERROR(INDEX(Confirmations!$C:$C,MATCH($A64,Confirmations!$A:$A,0)),"")</f>
        <v>Aldridge Capital</v>
      </c>
      <c r="F64" s="14" t="n">
        <f aca="false">IFERROR(INDEX(Booking!$D:$D,MATCH($A64,Booking!$A:$A,0)),"")</f>
        <v>20000000</v>
      </c>
      <c r="G64" s="14" t="n">
        <f aca="false">IFERROR(INDEX(Confirmations!$D:$D,MATCH($A64,Confirmations!$A:$A,0)),"")</f>
        <v>20000000</v>
      </c>
      <c r="H64" s="15" t="n">
        <f aca="false">IFERROR(INDEX(Booking!$E:$E,MATCH($A64,Booking!$A:$A,0)),"")</f>
        <v>4.5436</v>
      </c>
      <c r="I64" s="15" t="n">
        <f aca="false">IFERROR(INDEX(Confirmations!$E:$E,MATCH($A64,Confirmations!$A:$A,0)),"")</f>
        <v>4.5436</v>
      </c>
      <c r="J64" s="3" t="n">
        <f aca="false">IFERROR(INDEX(Booking!$F:$F,MATCH($A64,Booking!$A:$A,0)),"")</f>
        <v>3</v>
      </c>
      <c r="K64" s="3" t="n">
        <f aca="false">IFERROR(INDEX(Confirmations!$F:$F,MATCH($A64,Confirmations!$A:$A,0)),"")</f>
        <v>3</v>
      </c>
      <c r="L64" s="3" t="str">
        <f aca="false">IF(NOT(C64),"Unconfirmed",IF(NOT(B64),"Unbooked",IF(D64&lt;&gt;E64,"Counterparty",IF(ABS(F64-G64)&gt;F64*Rules!$B$4/10000,"Notional",IF(H64&lt;&gt;I64,"Rate or price",IF(J64&lt;&gt;K64,"Value date","Matched"))))))</f>
        <v>Matched</v>
      </c>
      <c r="M64" s="3" t="n">
        <f aca="false">IF(B64,INDEX(Booking!$G:$G,MATCH(A64,Booking!$A:$A,0)),INDEX(Confirmations!$G:$G,MATCH(A64,Confirmations!$A:$A,0)))</f>
        <v>1</v>
      </c>
      <c r="N64" s="13" t="b">
        <f aca="false">AND(L64&lt;&gt;"Matched",M64&gt;Rules!$B$5)</f>
        <v>0</v>
      </c>
      <c r="O64" s="3" t="str">
        <f aca="false">INDEX(Rules!$B$8:$B$14,MATCH(L64,Rules!$A$8:$A$14,0))</f>
        <v>None</v>
      </c>
    </row>
    <row r="65" customFormat="false" ht="15" hidden="false" customHeight="false" outlineLevel="0" collapsed="false">
      <c r="A65" s="3" t="s">
        <v>109</v>
      </c>
      <c r="B65" s="13" t="b">
        <f aca="false">ISNUMBER(MATCH(A65,Booking!$A:$A,0))</f>
        <v>1</v>
      </c>
      <c r="C65" s="13" t="b">
        <f aca="false">ISNUMBER(MATCH(A65,Confirmations!$A:$A,0))</f>
        <v>1</v>
      </c>
      <c r="D65" s="3" t="str">
        <f aca="false">IFERROR(INDEX(Booking!$C:$C,MATCH($A65,Booking!$A:$A,0)),"")</f>
        <v>Aldridge Capital</v>
      </c>
      <c r="E65" s="3" t="str">
        <f aca="false">IFERROR(INDEX(Confirmations!$C:$C,MATCH($A65,Confirmations!$A:$A,0)),"")</f>
        <v>Aldridge Capital</v>
      </c>
      <c r="F65" s="14" t="n">
        <f aca="false">IFERROR(INDEX(Booking!$D:$D,MATCH($A65,Booking!$A:$A,0)),"")</f>
        <v>48000000</v>
      </c>
      <c r="G65" s="14" t="n">
        <f aca="false">IFERROR(INDEX(Confirmations!$D:$D,MATCH($A65,Confirmations!$A:$A,0)),"")</f>
        <v>48000000</v>
      </c>
      <c r="H65" s="15" t="n">
        <f aca="false">IFERROR(INDEX(Booking!$E:$E,MATCH($A65,Booking!$A:$A,0)),"")</f>
        <v>6.0138</v>
      </c>
      <c r="I65" s="15" t="n">
        <f aca="false">IFERROR(INDEX(Confirmations!$E:$E,MATCH($A65,Confirmations!$A:$A,0)),"")</f>
        <v>6.0138</v>
      </c>
      <c r="J65" s="3" t="n">
        <f aca="false">IFERROR(INDEX(Booking!$F:$F,MATCH($A65,Booking!$A:$A,0)),"")</f>
        <v>1</v>
      </c>
      <c r="K65" s="3" t="n">
        <f aca="false">IFERROR(INDEX(Confirmations!$F:$F,MATCH($A65,Confirmations!$A:$A,0)),"")</f>
        <v>1</v>
      </c>
      <c r="L65" s="3" t="str">
        <f aca="false">IF(NOT(C65),"Unconfirmed",IF(NOT(B65),"Unbooked",IF(D65&lt;&gt;E65,"Counterparty",IF(ABS(F65-G65)&gt;F65*Rules!$B$4/10000,"Notional",IF(H65&lt;&gt;I65,"Rate or price",IF(J65&lt;&gt;K65,"Value date","Matched"))))))</f>
        <v>Matched</v>
      </c>
      <c r="M65" s="3" t="n">
        <f aca="false">IF(B65,INDEX(Booking!$G:$G,MATCH(A65,Booking!$A:$A,0)),INDEX(Confirmations!$G:$G,MATCH(A65,Confirmations!$A:$A,0)))</f>
        <v>6</v>
      </c>
      <c r="N65" s="13" t="b">
        <f aca="false">AND(L65&lt;&gt;"Matched",M65&gt;Rules!$B$5)</f>
        <v>0</v>
      </c>
      <c r="O65" s="3" t="str">
        <f aca="false">INDEX(Rules!$B$8:$B$14,MATCH(L65,Rules!$A$8:$A$14,0))</f>
        <v>None</v>
      </c>
    </row>
    <row r="66" customFormat="false" ht="15" hidden="false" customHeight="false" outlineLevel="0" collapsed="false">
      <c r="A66" s="3" t="s">
        <v>110</v>
      </c>
      <c r="B66" s="13" t="b">
        <f aca="false">ISNUMBER(MATCH(A66,Booking!$A:$A,0))</f>
        <v>1</v>
      </c>
      <c r="C66" s="13" t="b">
        <f aca="false">ISNUMBER(MATCH(A66,Confirmations!$A:$A,0))</f>
        <v>1</v>
      </c>
      <c r="D66" s="3" t="str">
        <f aca="false">IFERROR(INDEX(Booking!$C:$C,MATCH($A66,Booking!$A:$A,0)),"")</f>
        <v>Kestrel Macro Fund</v>
      </c>
      <c r="E66" s="3" t="str">
        <f aca="false">IFERROR(INDEX(Confirmations!$C:$C,MATCH($A66,Confirmations!$A:$A,0)),"")</f>
        <v>Kestrel Macro Fund</v>
      </c>
      <c r="F66" s="14" t="n">
        <f aca="false">IFERROR(INDEX(Booking!$D:$D,MATCH($A66,Booking!$A:$A,0)),"")</f>
        <v>32000000</v>
      </c>
      <c r="G66" s="14" t="n">
        <f aca="false">IFERROR(INDEX(Confirmations!$D:$D,MATCH($A66,Confirmations!$A:$A,0)),"")</f>
        <v>32000000</v>
      </c>
      <c r="H66" s="15" t="n">
        <f aca="false">IFERROR(INDEX(Booking!$E:$E,MATCH($A66,Booking!$A:$A,0)),"")</f>
        <v>2.6061</v>
      </c>
      <c r="I66" s="15" t="n">
        <f aca="false">IFERROR(INDEX(Confirmations!$E:$E,MATCH($A66,Confirmations!$A:$A,0)),"")</f>
        <v>2.6061</v>
      </c>
      <c r="J66" s="3" t="n">
        <f aca="false">IFERROR(INDEX(Booking!$F:$F,MATCH($A66,Booking!$A:$A,0)),"")</f>
        <v>3</v>
      </c>
      <c r="K66" s="3" t="n">
        <f aca="false">IFERROR(INDEX(Confirmations!$F:$F,MATCH($A66,Confirmations!$A:$A,0)),"")</f>
        <v>3</v>
      </c>
      <c r="L66" s="3" t="str">
        <f aca="false">IF(NOT(C66),"Unconfirmed",IF(NOT(B66),"Unbooked",IF(D66&lt;&gt;E66,"Counterparty",IF(ABS(F66-G66)&gt;F66*Rules!$B$4/10000,"Notional",IF(H66&lt;&gt;I66,"Rate or price",IF(J66&lt;&gt;K66,"Value date","Matched"))))))</f>
        <v>Matched</v>
      </c>
      <c r="M66" s="3" t="n">
        <f aca="false">IF(B66,INDEX(Booking!$G:$G,MATCH(A66,Booking!$A:$A,0)),INDEX(Confirmations!$G:$G,MATCH(A66,Confirmations!$A:$A,0)))</f>
        <v>0</v>
      </c>
      <c r="N66" s="13" t="b">
        <f aca="false">AND(L66&lt;&gt;"Matched",M66&gt;Rules!$B$5)</f>
        <v>0</v>
      </c>
      <c r="O66" s="3" t="str">
        <f aca="false">INDEX(Rules!$B$8:$B$14,MATCH(L66,Rules!$A$8:$A$14,0))</f>
        <v>None</v>
      </c>
    </row>
    <row r="67" customFormat="false" ht="15" hidden="false" customHeight="false" outlineLevel="0" collapsed="false">
      <c r="A67" s="3" t="s">
        <v>111</v>
      </c>
      <c r="B67" s="13" t="b">
        <f aca="false">ISNUMBER(MATCH(A67,Booking!$A:$A,0))</f>
        <v>1</v>
      </c>
      <c r="C67" s="13" t="b">
        <f aca="false">ISNUMBER(MATCH(A67,Confirmations!$A:$A,0))</f>
        <v>1</v>
      </c>
      <c r="D67" s="3" t="str">
        <f aca="false">IFERROR(INDEX(Booking!$C:$C,MATCH($A67,Booking!$A:$A,0)),"")</f>
        <v>Kestrel Macro Fund</v>
      </c>
      <c r="E67" s="3" t="str">
        <f aca="false">IFERROR(INDEX(Confirmations!$C:$C,MATCH($A67,Confirmations!$A:$A,0)),"")</f>
        <v>Kestrel Macro Fund</v>
      </c>
      <c r="F67" s="14" t="n">
        <f aca="false">IFERROR(INDEX(Booking!$D:$D,MATCH($A67,Booking!$A:$A,0)),"")</f>
        <v>34000000</v>
      </c>
      <c r="G67" s="14" t="n">
        <f aca="false">IFERROR(INDEX(Confirmations!$D:$D,MATCH($A67,Confirmations!$A:$A,0)),"")</f>
        <v>34000000</v>
      </c>
      <c r="H67" s="15" t="n">
        <f aca="false">IFERROR(INDEX(Booking!$E:$E,MATCH($A67,Booking!$A:$A,0)),"")</f>
        <v>6.2125</v>
      </c>
      <c r="I67" s="15" t="n">
        <f aca="false">IFERROR(INDEX(Confirmations!$E:$E,MATCH($A67,Confirmations!$A:$A,0)),"")</f>
        <v>6.2125</v>
      </c>
      <c r="J67" s="3" t="n">
        <f aca="false">IFERROR(INDEX(Booking!$F:$F,MATCH($A67,Booking!$A:$A,0)),"")</f>
        <v>1</v>
      </c>
      <c r="K67" s="3" t="n">
        <f aca="false">IFERROR(INDEX(Confirmations!$F:$F,MATCH($A67,Confirmations!$A:$A,0)),"")</f>
        <v>1</v>
      </c>
      <c r="L67" s="3" t="str">
        <f aca="false">IF(NOT(C67),"Unconfirmed",IF(NOT(B67),"Unbooked",IF(D67&lt;&gt;E67,"Counterparty",IF(ABS(F67-G67)&gt;F67*Rules!$B$4/10000,"Notional",IF(H67&lt;&gt;I67,"Rate or price",IF(J67&lt;&gt;K67,"Value date","Matched"))))))</f>
        <v>Matched</v>
      </c>
      <c r="M67" s="3" t="n">
        <f aca="false">IF(B67,INDEX(Booking!$G:$G,MATCH(A67,Booking!$A:$A,0)),INDEX(Confirmations!$G:$G,MATCH(A67,Confirmations!$A:$A,0)))</f>
        <v>0</v>
      </c>
      <c r="N67" s="13" t="b">
        <f aca="false">AND(L67&lt;&gt;"Matched",M67&gt;Rules!$B$5)</f>
        <v>0</v>
      </c>
      <c r="O67" s="3" t="str">
        <f aca="false">INDEX(Rules!$B$8:$B$14,MATCH(L67,Rules!$A$8:$A$14,0))</f>
        <v>None</v>
      </c>
    </row>
    <row r="68" customFormat="false" ht="15" hidden="false" customHeight="false" outlineLevel="0" collapsed="false">
      <c r="A68" s="3" t="s">
        <v>112</v>
      </c>
      <c r="B68" s="13" t="b">
        <f aca="false">ISNUMBER(MATCH(A68,Booking!$A:$A,0))</f>
        <v>1</v>
      </c>
      <c r="C68" s="13" t="b">
        <f aca="false">ISNUMBER(MATCH(A68,Confirmations!$A:$A,0))</f>
        <v>1</v>
      </c>
      <c r="D68" s="3" t="str">
        <f aca="false">IFERROR(INDEX(Booking!$C:$C,MATCH($A68,Booking!$A:$A,0)),"")</f>
        <v>Kestrel Macro Fund</v>
      </c>
      <c r="E68" s="3" t="str">
        <f aca="false">IFERROR(INDEX(Confirmations!$C:$C,MATCH($A68,Confirmations!$A:$A,0)),"")</f>
        <v>Kestrel Macro Fund</v>
      </c>
      <c r="F68" s="14" t="n">
        <f aca="false">IFERROR(INDEX(Booking!$D:$D,MATCH($A68,Booking!$A:$A,0)),"")</f>
        <v>31000000</v>
      </c>
      <c r="G68" s="14" t="n">
        <f aca="false">IFERROR(INDEX(Confirmations!$D:$D,MATCH($A68,Confirmations!$A:$A,0)),"")</f>
        <v>31000000</v>
      </c>
      <c r="H68" s="15" t="n">
        <f aca="false">IFERROR(INDEX(Booking!$E:$E,MATCH($A68,Booking!$A:$A,0)),"")</f>
        <v>3.849</v>
      </c>
      <c r="I68" s="15" t="n">
        <f aca="false">IFERROR(INDEX(Confirmations!$E:$E,MATCH($A68,Confirmations!$A:$A,0)),"")</f>
        <v>3.849</v>
      </c>
      <c r="J68" s="3" t="n">
        <f aca="false">IFERROR(INDEX(Booking!$F:$F,MATCH($A68,Booking!$A:$A,0)),"")</f>
        <v>1</v>
      </c>
      <c r="K68" s="3" t="n">
        <f aca="false">IFERROR(INDEX(Confirmations!$F:$F,MATCH($A68,Confirmations!$A:$A,0)),"")</f>
        <v>1</v>
      </c>
      <c r="L68" s="3" t="str">
        <f aca="false">IF(NOT(C68),"Unconfirmed",IF(NOT(B68),"Unbooked",IF(D68&lt;&gt;E68,"Counterparty",IF(ABS(F68-G68)&gt;F68*Rules!$B$4/10000,"Notional",IF(H68&lt;&gt;I68,"Rate or price",IF(J68&lt;&gt;K68,"Value date","Matched"))))))</f>
        <v>Matched</v>
      </c>
      <c r="M68" s="3" t="n">
        <f aca="false">IF(B68,INDEX(Booking!$G:$G,MATCH(A68,Booking!$A:$A,0)),INDEX(Confirmations!$G:$G,MATCH(A68,Confirmations!$A:$A,0)))</f>
        <v>1</v>
      </c>
      <c r="N68" s="13" t="b">
        <f aca="false">AND(L68&lt;&gt;"Matched",M68&gt;Rules!$B$5)</f>
        <v>0</v>
      </c>
      <c r="O68" s="3" t="str">
        <f aca="false">INDEX(Rules!$B$8:$B$14,MATCH(L68,Rules!$A$8:$A$14,0))</f>
        <v>None</v>
      </c>
    </row>
    <row r="69" customFormat="false" ht="15" hidden="false" customHeight="false" outlineLevel="0" collapsed="false">
      <c r="A69" s="3" t="s">
        <v>113</v>
      </c>
      <c r="B69" s="13" t="b">
        <f aca="false">ISNUMBER(MATCH(A69,Booking!$A:$A,0))</f>
        <v>1</v>
      </c>
      <c r="C69" s="13" t="b">
        <f aca="false">ISNUMBER(MATCH(A69,Confirmations!$A:$A,0))</f>
        <v>1</v>
      </c>
      <c r="D69" s="3" t="str">
        <f aca="false">IFERROR(INDEX(Booking!$C:$C,MATCH($A69,Booking!$A:$A,0)),"")</f>
        <v>Aldridge Capital</v>
      </c>
      <c r="E69" s="3" t="str">
        <f aca="false">IFERROR(INDEX(Confirmations!$C:$C,MATCH($A69,Confirmations!$A:$A,0)),"")</f>
        <v>Aldridge Capital</v>
      </c>
      <c r="F69" s="14" t="n">
        <f aca="false">IFERROR(INDEX(Booking!$D:$D,MATCH($A69,Booking!$A:$A,0)),"")</f>
        <v>23000000</v>
      </c>
      <c r="G69" s="14" t="n">
        <f aca="false">IFERROR(INDEX(Confirmations!$D:$D,MATCH($A69,Confirmations!$A:$A,0)),"")</f>
        <v>23000000</v>
      </c>
      <c r="H69" s="15" t="n">
        <f aca="false">IFERROR(INDEX(Booking!$E:$E,MATCH($A69,Booking!$A:$A,0)),"")</f>
        <v>1.1741</v>
      </c>
      <c r="I69" s="15" t="n">
        <f aca="false">IFERROR(INDEX(Confirmations!$E:$E,MATCH($A69,Confirmations!$A:$A,0)),"")</f>
        <v>1.1741</v>
      </c>
      <c r="J69" s="3" t="n">
        <f aca="false">IFERROR(INDEX(Booking!$F:$F,MATCH($A69,Booking!$A:$A,0)),"")</f>
        <v>2</v>
      </c>
      <c r="K69" s="3" t="n">
        <f aca="false">IFERROR(INDEX(Confirmations!$F:$F,MATCH($A69,Confirmations!$A:$A,0)),"")</f>
        <v>2</v>
      </c>
      <c r="L69" s="3" t="str">
        <f aca="false">IF(NOT(C69),"Unconfirmed",IF(NOT(B69),"Unbooked",IF(D69&lt;&gt;E69,"Counterparty",IF(ABS(F69-G69)&gt;F69*Rules!$B$4/10000,"Notional",IF(H69&lt;&gt;I69,"Rate or price",IF(J69&lt;&gt;K69,"Value date","Matched"))))))</f>
        <v>Matched</v>
      </c>
      <c r="M69" s="3" t="n">
        <f aca="false">IF(B69,INDEX(Booking!$G:$G,MATCH(A69,Booking!$A:$A,0)),INDEX(Confirmations!$G:$G,MATCH(A69,Confirmations!$A:$A,0)))</f>
        <v>3</v>
      </c>
      <c r="N69" s="13" t="b">
        <f aca="false">AND(L69&lt;&gt;"Matched",M69&gt;Rules!$B$5)</f>
        <v>0</v>
      </c>
      <c r="O69" s="3" t="str">
        <f aca="false">INDEX(Rules!$B$8:$B$14,MATCH(L69,Rules!$A$8:$A$14,0))</f>
        <v>None</v>
      </c>
    </row>
    <row r="70" customFormat="false" ht="15" hidden="false" customHeight="false" outlineLevel="0" collapsed="false">
      <c r="A70" s="3" t="s">
        <v>114</v>
      </c>
      <c r="B70" s="13" t="b">
        <f aca="false">ISNUMBER(MATCH(A70,Booking!$A:$A,0))</f>
        <v>1</v>
      </c>
      <c r="C70" s="13" t="b">
        <f aca="false">ISNUMBER(MATCH(A70,Confirmations!$A:$A,0))</f>
        <v>1</v>
      </c>
      <c r="D70" s="3" t="str">
        <f aca="false">IFERROR(INDEX(Booking!$C:$C,MATCH($A70,Booking!$A:$A,0)),"")</f>
        <v>Kestrel Macro Fund</v>
      </c>
      <c r="E70" s="3" t="str">
        <f aca="false">IFERROR(INDEX(Confirmations!$C:$C,MATCH($A70,Confirmations!$A:$A,0)),"")</f>
        <v>Kestrel Macro Fund</v>
      </c>
      <c r="F70" s="14" t="n">
        <f aca="false">IFERROR(INDEX(Booking!$D:$D,MATCH($A70,Booking!$A:$A,0)),"")</f>
        <v>31000000</v>
      </c>
      <c r="G70" s="14" t="n">
        <f aca="false">IFERROR(INDEX(Confirmations!$D:$D,MATCH($A70,Confirmations!$A:$A,0)),"")</f>
        <v>31000000</v>
      </c>
      <c r="H70" s="15" t="n">
        <f aca="false">IFERROR(INDEX(Booking!$E:$E,MATCH($A70,Booking!$A:$A,0)),"")</f>
        <v>5.5988</v>
      </c>
      <c r="I70" s="15" t="n">
        <f aca="false">IFERROR(INDEX(Confirmations!$E:$E,MATCH($A70,Confirmations!$A:$A,0)),"")</f>
        <v>5.5988</v>
      </c>
      <c r="J70" s="3" t="n">
        <f aca="false">IFERROR(INDEX(Booking!$F:$F,MATCH($A70,Booking!$A:$A,0)),"")</f>
        <v>2</v>
      </c>
      <c r="K70" s="3" t="n">
        <f aca="false">IFERROR(INDEX(Confirmations!$F:$F,MATCH($A70,Confirmations!$A:$A,0)),"")</f>
        <v>2</v>
      </c>
      <c r="L70" s="3" t="str">
        <f aca="false">IF(NOT(C70),"Unconfirmed",IF(NOT(B70),"Unbooked",IF(D70&lt;&gt;E70,"Counterparty",IF(ABS(F70-G70)&gt;F70*Rules!$B$4/10000,"Notional",IF(H70&lt;&gt;I70,"Rate or price",IF(J70&lt;&gt;K70,"Value date","Matched"))))))</f>
        <v>Matched</v>
      </c>
      <c r="M70" s="3" t="n">
        <f aca="false">IF(B70,INDEX(Booking!$G:$G,MATCH(A70,Booking!$A:$A,0)),INDEX(Confirmations!$G:$G,MATCH(A70,Confirmations!$A:$A,0)))</f>
        <v>4</v>
      </c>
      <c r="N70" s="13" t="b">
        <f aca="false">AND(L70&lt;&gt;"Matched",M70&gt;Rules!$B$5)</f>
        <v>0</v>
      </c>
      <c r="O70" s="3" t="str">
        <f aca="false">INDEX(Rules!$B$8:$B$14,MATCH(L70,Rules!$A$8:$A$14,0))</f>
        <v>None</v>
      </c>
    </row>
    <row r="71" customFormat="false" ht="15" hidden="false" customHeight="false" outlineLevel="0" collapsed="false">
      <c r="A71" s="3" t="s">
        <v>115</v>
      </c>
      <c r="B71" s="13" t="b">
        <f aca="false">ISNUMBER(MATCH(A71,Booking!$A:$A,0))</f>
        <v>1</v>
      </c>
      <c r="C71" s="13" t="b">
        <f aca="false">ISNUMBER(MATCH(A71,Confirmations!$A:$A,0))</f>
        <v>1</v>
      </c>
      <c r="D71" s="3" t="str">
        <f aca="false">IFERROR(INDEX(Booking!$C:$C,MATCH($A71,Booking!$A:$A,0)),"")</f>
        <v>Solent Asset Management</v>
      </c>
      <c r="E71" s="3" t="str">
        <f aca="false">IFERROR(INDEX(Confirmations!$C:$C,MATCH($A71,Confirmations!$A:$A,0)),"")</f>
        <v>Solent Asset Management</v>
      </c>
      <c r="F71" s="14" t="n">
        <f aca="false">IFERROR(INDEX(Booking!$D:$D,MATCH($A71,Booking!$A:$A,0)),"")</f>
        <v>27000000</v>
      </c>
      <c r="G71" s="14" t="n">
        <f aca="false">IFERROR(INDEX(Confirmations!$D:$D,MATCH($A71,Confirmations!$A:$A,0)),"")</f>
        <v>27000000</v>
      </c>
      <c r="H71" s="15" t="n">
        <f aca="false">IFERROR(INDEX(Booking!$E:$E,MATCH($A71,Booking!$A:$A,0)),"")</f>
        <v>5.9101</v>
      </c>
      <c r="I71" s="15" t="n">
        <f aca="false">IFERROR(INDEX(Confirmations!$E:$E,MATCH($A71,Confirmations!$A:$A,0)),"")</f>
        <v>5.9101</v>
      </c>
      <c r="J71" s="3" t="n">
        <f aca="false">IFERROR(INDEX(Booking!$F:$F,MATCH($A71,Booking!$A:$A,0)),"")</f>
        <v>3</v>
      </c>
      <c r="K71" s="3" t="n">
        <f aca="false">IFERROR(INDEX(Confirmations!$F:$F,MATCH($A71,Confirmations!$A:$A,0)),"")</f>
        <v>3</v>
      </c>
      <c r="L71" s="3" t="str">
        <f aca="false">IF(NOT(C71),"Unconfirmed",IF(NOT(B71),"Unbooked",IF(D71&lt;&gt;E71,"Counterparty",IF(ABS(F71-G71)&gt;F71*Rules!$B$4/10000,"Notional",IF(H71&lt;&gt;I71,"Rate or price",IF(J71&lt;&gt;K71,"Value date","Matched"))))))</f>
        <v>Matched</v>
      </c>
      <c r="M71" s="3" t="n">
        <f aca="false">IF(B71,INDEX(Booking!$G:$G,MATCH(A71,Booking!$A:$A,0)),INDEX(Confirmations!$G:$G,MATCH(A71,Confirmations!$A:$A,0)))</f>
        <v>0</v>
      </c>
      <c r="N71" s="13" t="b">
        <f aca="false">AND(L71&lt;&gt;"Matched",M71&gt;Rules!$B$5)</f>
        <v>0</v>
      </c>
      <c r="O71" s="3" t="str">
        <f aca="false">INDEX(Rules!$B$8:$B$14,MATCH(L71,Rules!$A$8:$A$14,0))</f>
        <v>None</v>
      </c>
    </row>
    <row r="72" customFormat="false" ht="15" hidden="false" customHeight="false" outlineLevel="0" collapsed="false">
      <c r="A72" s="3" t="s">
        <v>116</v>
      </c>
      <c r="B72" s="13" t="b">
        <f aca="false">ISNUMBER(MATCH(A72,Booking!$A:$A,0))</f>
        <v>1</v>
      </c>
      <c r="C72" s="13" t="b">
        <f aca="false">ISNUMBER(MATCH(A72,Confirmations!$A:$A,0))</f>
        <v>1</v>
      </c>
      <c r="D72" s="3" t="str">
        <f aca="false">IFERROR(INDEX(Booking!$C:$C,MATCH($A72,Booking!$A:$A,0)),"")</f>
        <v>Meridian Bank</v>
      </c>
      <c r="E72" s="3" t="str">
        <f aca="false">IFERROR(INDEX(Confirmations!$C:$C,MATCH($A72,Confirmations!$A:$A,0)),"")</f>
        <v>Meridian Bank</v>
      </c>
      <c r="F72" s="14" t="n">
        <f aca="false">IFERROR(INDEX(Booking!$D:$D,MATCH($A72,Booking!$A:$A,0)),"")</f>
        <v>33000000</v>
      </c>
      <c r="G72" s="14" t="n">
        <f aca="false">IFERROR(INDEX(Confirmations!$D:$D,MATCH($A72,Confirmations!$A:$A,0)),"")</f>
        <v>33000000</v>
      </c>
      <c r="H72" s="15" t="n">
        <f aca="false">IFERROR(INDEX(Booking!$E:$E,MATCH($A72,Booking!$A:$A,0)),"")</f>
        <v>4.2554</v>
      </c>
      <c r="I72" s="15" t="n">
        <f aca="false">IFERROR(INDEX(Confirmations!$E:$E,MATCH($A72,Confirmations!$A:$A,0)),"")</f>
        <v>4.2554</v>
      </c>
      <c r="J72" s="3" t="n">
        <f aca="false">IFERROR(INDEX(Booking!$F:$F,MATCH($A72,Booking!$A:$A,0)),"")</f>
        <v>2</v>
      </c>
      <c r="K72" s="3" t="n">
        <f aca="false">IFERROR(INDEX(Confirmations!$F:$F,MATCH($A72,Confirmations!$A:$A,0)),"")</f>
        <v>2</v>
      </c>
      <c r="L72" s="3" t="str">
        <f aca="false">IF(NOT(C72),"Unconfirmed",IF(NOT(B72),"Unbooked",IF(D72&lt;&gt;E72,"Counterparty",IF(ABS(F72-G72)&gt;F72*Rules!$B$4/10000,"Notional",IF(H72&lt;&gt;I72,"Rate or price",IF(J72&lt;&gt;K72,"Value date","Matched"))))))</f>
        <v>Matched</v>
      </c>
      <c r="M72" s="3" t="n">
        <f aca="false">IF(B72,INDEX(Booking!$G:$G,MATCH(A72,Booking!$A:$A,0)),INDEX(Confirmations!$G:$G,MATCH(A72,Confirmations!$A:$A,0)))</f>
        <v>0</v>
      </c>
      <c r="N72" s="13" t="b">
        <f aca="false">AND(L72&lt;&gt;"Matched",M72&gt;Rules!$B$5)</f>
        <v>0</v>
      </c>
      <c r="O72" s="3" t="str">
        <f aca="false">INDEX(Rules!$B$8:$B$14,MATCH(L72,Rules!$A$8:$A$14,0))</f>
        <v>None</v>
      </c>
    </row>
    <row r="73" customFormat="false" ht="15" hidden="false" customHeight="false" outlineLevel="0" collapsed="false">
      <c r="A73" s="3" t="s">
        <v>117</v>
      </c>
      <c r="B73" s="13" t="b">
        <f aca="false">ISNUMBER(MATCH(A73,Booking!$A:$A,0))</f>
        <v>1</v>
      </c>
      <c r="C73" s="13" t="b">
        <f aca="false">ISNUMBER(MATCH(A73,Confirmations!$A:$A,0))</f>
        <v>1</v>
      </c>
      <c r="D73" s="3" t="str">
        <f aca="false">IFERROR(INDEX(Booking!$C:$C,MATCH($A73,Booking!$A:$A,0)),"")</f>
        <v>Meridian Bank</v>
      </c>
      <c r="E73" s="3" t="str">
        <f aca="false">IFERROR(INDEX(Confirmations!$C:$C,MATCH($A73,Confirmations!$A:$A,0)),"")</f>
        <v>Meridian Bank</v>
      </c>
      <c r="F73" s="14" t="n">
        <f aca="false">IFERROR(INDEX(Booking!$D:$D,MATCH($A73,Booking!$A:$A,0)),"")</f>
        <v>33000000</v>
      </c>
      <c r="G73" s="14" t="n">
        <f aca="false">IFERROR(INDEX(Confirmations!$D:$D,MATCH($A73,Confirmations!$A:$A,0)),"")</f>
        <v>33000000</v>
      </c>
      <c r="H73" s="15" t="n">
        <f aca="false">IFERROR(INDEX(Booking!$E:$E,MATCH($A73,Booking!$A:$A,0)),"")</f>
        <v>3.4022</v>
      </c>
      <c r="I73" s="15" t="n">
        <f aca="false">IFERROR(INDEX(Confirmations!$E:$E,MATCH($A73,Confirmations!$A:$A,0)),"")</f>
        <v>3.4022</v>
      </c>
      <c r="J73" s="3" t="n">
        <f aca="false">IFERROR(INDEX(Booking!$F:$F,MATCH($A73,Booking!$A:$A,0)),"")</f>
        <v>3</v>
      </c>
      <c r="K73" s="3" t="n">
        <f aca="false">IFERROR(INDEX(Confirmations!$F:$F,MATCH($A73,Confirmations!$A:$A,0)),"")</f>
        <v>3</v>
      </c>
      <c r="L73" s="3" t="str">
        <f aca="false">IF(NOT(C73),"Unconfirmed",IF(NOT(B73),"Unbooked",IF(D73&lt;&gt;E73,"Counterparty",IF(ABS(F73-G73)&gt;F73*Rules!$B$4/10000,"Notional",IF(H73&lt;&gt;I73,"Rate or price",IF(J73&lt;&gt;K73,"Value date","Matched"))))))</f>
        <v>Matched</v>
      </c>
      <c r="M73" s="3" t="n">
        <f aca="false">IF(B73,INDEX(Booking!$G:$G,MATCH(A73,Booking!$A:$A,0)),INDEX(Confirmations!$G:$G,MATCH(A73,Confirmations!$A:$A,0)))</f>
        <v>5</v>
      </c>
      <c r="N73" s="13" t="b">
        <f aca="false">AND(L73&lt;&gt;"Matched",M73&gt;Rules!$B$5)</f>
        <v>0</v>
      </c>
      <c r="O73" s="3" t="str">
        <f aca="false">INDEX(Rules!$B$8:$B$14,MATCH(L73,Rules!$A$8:$A$14,0))</f>
        <v>None</v>
      </c>
    </row>
    <row r="74" customFormat="false" ht="15" hidden="false" customHeight="false" outlineLevel="0" collapsed="false">
      <c r="A74" s="3" t="s">
        <v>118</v>
      </c>
      <c r="B74" s="13" t="b">
        <f aca="false">ISNUMBER(MATCH(A74,Booking!$A:$A,0))</f>
        <v>1</v>
      </c>
      <c r="C74" s="13" t="b">
        <f aca="false">ISNUMBER(MATCH(A74,Confirmations!$A:$A,0))</f>
        <v>1</v>
      </c>
      <c r="D74" s="3" t="str">
        <f aca="false">IFERROR(INDEX(Booking!$C:$C,MATCH($A74,Booking!$A:$A,0)),"")</f>
        <v>Vale Corporate Treasury</v>
      </c>
      <c r="E74" s="3" t="str">
        <f aca="false">IFERROR(INDEX(Confirmations!$C:$C,MATCH($A74,Confirmations!$A:$A,0)),"")</f>
        <v>Vale Corporate Treasury</v>
      </c>
      <c r="F74" s="14" t="n">
        <f aca="false">IFERROR(INDEX(Booking!$D:$D,MATCH($A74,Booking!$A:$A,0)),"")</f>
        <v>33000000</v>
      </c>
      <c r="G74" s="14" t="n">
        <f aca="false">IFERROR(INDEX(Confirmations!$D:$D,MATCH($A74,Confirmations!$A:$A,0)),"")</f>
        <v>33000000</v>
      </c>
      <c r="H74" s="15" t="n">
        <f aca="false">IFERROR(INDEX(Booking!$E:$E,MATCH($A74,Booking!$A:$A,0)),"")</f>
        <v>1.905</v>
      </c>
      <c r="I74" s="15" t="n">
        <f aca="false">IFERROR(INDEX(Confirmations!$E:$E,MATCH($A74,Confirmations!$A:$A,0)),"")</f>
        <v>1.905</v>
      </c>
      <c r="J74" s="3" t="n">
        <f aca="false">IFERROR(INDEX(Booking!$F:$F,MATCH($A74,Booking!$A:$A,0)),"")</f>
        <v>1</v>
      </c>
      <c r="K74" s="3" t="n">
        <f aca="false">IFERROR(INDEX(Confirmations!$F:$F,MATCH($A74,Confirmations!$A:$A,0)),"")</f>
        <v>1</v>
      </c>
      <c r="L74" s="3" t="str">
        <f aca="false">IF(NOT(C74),"Unconfirmed",IF(NOT(B74),"Unbooked",IF(D74&lt;&gt;E74,"Counterparty",IF(ABS(F74-G74)&gt;F74*Rules!$B$4/10000,"Notional",IF(H74&lt;&gt;I74,"Rate or price",IF(J74&lt;&gt;K74,"Value date","Matched"))))))</f>
        <v>Matched</v>
      </c>
      <c r="M74" s="3" t="n">
        <f aca="false">IF(B74,INDEX(Booking!$G:$G,MATCH(A74,Booking!$A:$A,0)),INDEX(Confirmations!$G:$G,MATCH(A74,Confirmations!$A:$A,0)))</f>
        <v>0</v>
      </c>
      <c r="N74" s="13" t="b">
        <f aca="false">AND(L74&lt;&gt;"Matched",M74&gt;Rules!$B$5)</f>
        <v>0</v>
      </c>
      <c r="O74" s="3" t="str">
        <f aca="false">INDEX(Rules!$B$8:$B$14,MATCH(L74,Rules!$A$8:$A$14,0))</f>
        <v>None</v>
      </c>
    </row>
    <row r="75" customFormat="false" ht="15" hidden="false" customHeight="false" outlineLevel="0" collapsed="false">
      <c r="A75" s="3" t="s">
        <v>119</v>
      </c>
      <c r="B75" s="13" t="b">
        <f aca="false">ISNUMBER(MATCH(A75,Booking!$A:$A,0))</f>
        <v>1</v>
      </c>
      <c r="C75" s="13" t="b">
        <f aca="false">ISNUMBER(MATCH(A75,Confirmations!$A:$A,0))</f>
        <v>1</v>
      </c>
      <c r="D75" s="3" t="str">
        <f aca="false">IFERROR(INDEX(Booking!$C:$C,MATCH($A75,Booking!$A:$A,0)),"")</f>
        <v>Aldridge Capital</v>
      </c>
      <c r="E75" s="3" t="str">
        <f aca="false">IFERROR(INDEX(Confirmations!$C:$C,MATCH($A75,Confirmations!$A:$A,0)),"")</f>
        <v>Aldridge Capital</v>
      </c>
      <c r="F75" s="14" t="n">
        <f aca="false">IFERROR(INDEX(Booking!$D:$D,MATCH($A75,Booking!$A:$A,0)),"")</f>
        <v>2000000</v>
      </c>
      <c r="G75" s="14" t="n">
        <f aca="false">IFERROR(INDEX(Confirmations!$D:$D,MATCH($A75,Confirmations!$A:$A,0)),"")</f>
        <v>2000000</v>
      </c>
      <c r="H75" s="15" t="n">
        <f aca="false">IFERROR(INDEX(Booking!$E:$E,MATCH($A75,Booking!$A:$A,0)),"")</f>
        <v>2.6436</v>
      </c>
      <c r="I75" s="15" t="n">
        <f aca="false">IFERROR(INDEX(Confirmations!$E:$E,MATCH($A75,Confirmations!$A:$A,0)),"")</f>
        <v>2.6436</v>
      </c>
      <c r="J75" s="3" t="n">
        <f aca="false">IFERROR(INDEX(Booking!$F:$F,MATCH($A75,Booking!$A:$A,0)),"")</f>
        <v>2</v>
      </c>
      <c r="K75" s="3" t="n">
        <f aca="false">IFERROR(INDEX(Confirmations!$F:$F,MATCH($A75,Confirmations!$A:$A,0)),"")</f>
        <v>2</v>
      </c>
      <c r="L75" s="3" t="str">
        <f aca="false">IF(NOT(C75),"Unconfirmed",IF(NOT(B75),"Unbooked",IF(D75&lt;&gt;E75,"Counterparty",IF(ABS(F75-G75)&gt;F75*Rules!$B$4/10000,"Notional",IF(H75&lt;&gt;I75,"Rate or price",IF(J75&lt;&gt;K75,"Value date","Matched"))))))</f>
        <v>Matched</v>
      </c>
      <c r="M75" s="3" t="n">
        <f aca="false">IF(B75,INDEX(Booking!$G:$G,MATCH(A75,Booking!$A:$A,0)),INDEX(Confirmations!$G:$G,MATCH(A75,Confirmations!$A:$A,0)))</f>
        <v>6</v>
      </c>
      <c r="N75" s="13" t="b">
        <f aca="false">AND(L75&lt;&gt;"Matched",M75&gt;Rules!$B$5)</f>
        <v>0</v>
      </c>
      <c r="O75" s="3" t="str">
        <f aca="false">INDEX(Rules!$B$8:$B$14,MATCH(L75,Rules!$A$8:$A$14,0))</f>
        <v>None</v>
      </c>
    </row>
    <row r="76" customFormat="false" ht="15" hidden="false" customHeight="false" outlineLevel="0" collapsed="false">
      <c r="A76" s="3" t="s">
        <v>283</v>
      </c>
      <c r="B76" s="13" t="b">
        <f aca="false">ISNUMBER(MATCH(A76,Booking!$A:$A,0))</f>
        <v>0</v>
      </c>
      <c r="C76" s="13" t="b">
        <f aca="false">ISNUMBER(MATCH(A76,Confirmations!$A:$A,0))</f>
        <v>1</v>
      </c>
      <c r="D76" s="3" t="str">
        <f aca="false">IFERROR(INDEX(Booking!$C:$C,MATCH($A76,Booking!$A:$A,0)),"")</f>
        <v/>
      </c>
      <c r="E76" s="3" t="str">
        <f aca="false">IFERROR(INDEX(Confirmations!$C:$C,MATCH($A76,Confirmations!$A:$A,0)),"")</f>
        <v>Northbay Pension Fund</v>
      </c>
      <c r="F76" s="14" t="str">
        <f aca="false">IFERROR(INDEX(Booking!$D:$D,MATCH($A76,Booking!$A:$A,0)),"")</f>
        <v/>
      </c>
      <c r="G76" s="14" t="n">
        <f aca="false">IFERROR(INDEX(Confirmations!$D:$D,MATCH($A76,Confirmations!$A:$A,0)),"")</f>
        <v>7000000</v>
      </c>
      <c r="H76" s="15" t="str">
        <f aca="false">IFERROR(INDEX(Booking!$E:$E,MATCH($A76,Booking!$A:$A,0)),"")</f>
        <v/>
      </c>
      <c r="I76" s="15" t="n">
        <f aca="false">IFERROR(INDEX(Confirmations!$E:$E,MATCH($A76,Confirmations!$A:$A,0)),"")</f>
        <v>1.1042</v>
      </c>
      <c r="J76" s="3" t="str">
        <f aca="false">IFERROR(INDEX(Booking!$F:$F,MATCH($A76,Booking!$A:$A,0)),"")</f>
        <v/>
      </c>
      <c r="K76" s="3" t="n">
        <f aca="false">IFERROR(INDEX(Confirmations!$F:$F,MATCH($A76,Confirmations!$A:$A,0)),"")</f>
        <v>2</v>
      </c>
      <c r="L76" s="3" t="str">
        <f aca="false">IF(NOT(C76),"Unconfirmed",IF(NOT(B76),"Unbooked",IF(D76&lt;&gt;E76,"Counterparty",IF(ABS(F76-G76)&gt;F76*Rules!$B$4/10000,"Notional",IF(H76&lt;&gt;I76,"Rate or price",IF(J76&lt;&gt;K76,"Value date","Matched"))))))</f>
        <v>Unbooked</v>
      </c>
      <c r="M76" s="3" t="n">
        <f aca="false">IF(B76,INDEX(Booking!$G:$G,MATCH(A76,Booking!$A:$A,0)),INDEX(Confirmations!$G:$G,MATCH(A76,Confirmations!$A:$A,0)))</f>
        <v>0</v>
      </c>
      <c r="N76" s="13" t="b">
        <f aca="false">AND(L76&lt;&gt;"Matched",M76&gt;Rules!$B$5)</f>
        <v>0</v>
      </c>
      <c r="O76" s="3" t="str">
        <f aca="false">INDEX(Rules!$B$8:$B$14,MATCH(L76,Rules!$A$8:$A$14,0))</f>
        <v>Front office: book or reject</v>
      </c>
    </row>
    <row r="77" customFormat="false" ht="15" hidden="false" customHeight="false" outlineLevel="0" collapsed="false">
      <c r="A77" s="3" t="s">
        <v>120</v>
      </c>
      <c r="B77" s="13" t="b">
        <f aca="false">ISNUMBER(MATCH(A77,Booking!$A:$A,0))</f>
        <v>1</v>
      </c>
      <c r="C77" s="13" t="b">
        <f aca="false">ISNUMBER(MATCH(A77,Confirmations!$A:$A,0))</f>
        <v>1</v>
      </c>
      <c r="D77" s="3" t="str">
        <f aca="false">IFERROR(INDEX(Booking!$C:$C,MATCH($A77,Booking!$A:$A,0)),"")</f>
        <v>Solent Asset Management</v>
      </c>
      <c r="E77" s="3" t="str">
        <f aca="false">IFERROR(INDEX(Confirmations!$C:$C,MATCH($A77,Confirmations!$A:$A,0)),"")</f>
        <v>Solent Asset Management</v>
      </c>
      <c r="F77" s="14" t="n">
        <f aca="false">IFERROR(INDEX(Booking!$D:$D,MATCH($A77,Booking!$A:$A,0)),"")</f>
        <v>41000000</v>
      </c>
      <c r="G77" s="14" t="n">
        <f aca="false">IFERROR(INDEX(Confirmations!$D:$D,MATCH($A77,Confirmations!$A:$A,0)),"")</f>
        <v>41055188</v>
      </c>
      <c r="H77" s="15" t="n">
        <f aca="false">IFERROR(INDEX(Booking!$E:$E,MATCH($A77,Booking!$A:$A,0)),"")</f>
        <v>1.9648</v>
      </c>
      <c r="I77" s="15" t="n">
        <f aca="false">IFERROR(INDEX(Confirmations!$E:$E,MATCH($A77,Confirmations!$A:$A,0)),"")</f>
        <v>1.9648</v>
      </c>
      <c r="J77" s="3" t="n">
        <f aca="false">IFERROR(INDEX(Booking!$F:$F,MATCH($A77,Booking!$A:$A,0)),"")</f>
        <v>1</v>
      </c>
      <c r="K77" s="3" t="n">
        <f aca="false">IFERROR(INDEX(Confirmations!$F:$F,MATCH($A77,Confirmations!$A:$A,0)),"")</f>
        <v>1</v>
      </c>
      <c r="L77" s="3" t="str">
        <f aca="false">IF(NOT(C77),"Unconfirmed",IF(NOT(B77),"Unbooked",IF(D77&lt;&gt;E77,"Counterparty",IF(ABS(F77-G77)&gt;F77*Rules!$B$4/10000,"Notional",IF(H77&lt;&gt;I77,"Rate or price",IF(J77&lt;&gt;K77,"Value date","Matched"))))))</f>
        <v>Notional</v>
      </c>
      <c r="M77" s="3" t="n">
        <f aca="false">IF(B77,INDEX(Booking!$G:$G,MATCH(A77,Booking!$A:$A,0)),INDEX(Confirmations!$G:$G,MATCH(A77,Confirmations!$A:$A,0)))</f>
        <v>0</v>
      </c>
      <c r="N77" s="13" t="b">
        <f aca="false">AND(L77&lt;&gt;"Matched",M77&gt;Rules!$B$5)</f>
        <v>0</v>
      </c>
      <c r="O77" s="3" t="str">
        <f aca="false">INDEX(Rules!$B$8:$B$14,MATCH(L77,Rules!$A$8:$A$14,0))</f>
        <v>Middle office: amend booking</v>
      </c>
    </row>
    <row r="78" customFormat="false" ht="15" hidden="false" customHeight="false" outlineLevel="0" collapsed="false">
      <c r="A78" s="3" t="s">
        <v>121</v>
      </c>
      <c r="B78" s="13" t="b">
        <f aca="false">ISNUMBER(MATCH(A78,Booking!$A:$A,0))</f>
        <v>1</v>
      </c>
      <c r="C78" s="13" t="b">
        <f aca="false">ISNUMBER(MATCH(A78,Confirmations!$A:$A,0))</f>
        <v>1</v>
      </c>
      <c r="D78" s="3" t="str">
        <f aca="false">IFERROR(INDEX(Booking!$C:$C,MATCH($A78,Booking!$A:$A,0)),"")</f>
        <v>Solent Asset Management</v>
      </c>
      <c r="E78" s="3" t="str">
        <f aca="false">IFERROR(INDEX(Confirmations!$C:$C,MATCH($A78,Confirmations!$A:$A,0)),"")</f>
        <v>Solent Asset Management</v>
      </c>
      <c r="F78" s="14" t="n">
        <f aca="false">IFERROR(INDEX(Booking!$D:$D,MATCH($A78,Booking!$A:$A,0)),"")</f>
        <v>39000000</v>
      </c>
      <c r="G78" s="14" t="n">
        <f aca="false">IFERROR(INDEX(Confirmations!$D:$D,MATCH($A78,Confirmations!$A:$A,0)),"")</f>
        <v>39000000</v>
      </c>
      <c r="H78" s="15" t="n">
        <f aca="false">IFERROR(INDEX(Booking!$E:$E,MATCH($A78,Booking!$A:$A,0)),"")</f>
        <v>3.5917</v>
      </c>
      <c r="I78" s="15" t="n">
        <f aca="false">IFERROR(INDEX(Confirmations!$E:$E,MATCH($A78,Confirmations!$A:$A,0)),"")</f>
        <v>3.5917</v>
      </c>
      <c r="J78" s="3" t="n">
        <f aca="false">IFERROR(INDEX(Booking!$F:$F,MATCH($A78,Booking!$A:$A,0)),"")</f>
        <v>2</v>
      </c>
      <c r="K78" s="3" t="n">
        <f aca="false">IFERROR(INDEX(Confirmations!$F:$F,MATCH($A78,Confirmations!$A:$A,0)),"")</f>
        <v>2</v>
      </c>
      <c r="L78" s="3" t="str">
        <f aca="false">IF(NOT(C78),"Unconfirmed",IF(NOT(B78),"Unbooked",IF(D78&lt;&gt;E78,"Counterparty",IF(ABS(F78-G78)&gt;F78*Rules!$B$4/10000,"Notional",IF(H78&lt;&gt;I78,"Rate or price",IF(J78&lt;&gt;K78,"Value date","Matched"))))))</f>
        <v>Matched</v>
      </c>
      <c r="M78" s="3" t="n">
        <f aca="false">IF(B78,INDEX(Booking!$G:$G,MATCH(A78,Booking!$A:$A,0)),INDEX(Confirmations!$G:$G,MATCH(A78,Confirmations!$A:$A,0)))</f>
        <v>7</v>
      </c>
      <c r="N78" s="13" t="b">
        <f aca="false">AND(L78&lt;&gt;"Matched",M78&gt;Rules!$B$5)</f>
        <v>0</v>
      </c>
      <c r="O78" s="3" t="str">
        <f aca="false">INDEX(Rules!$B$8:$B$14,MATCH(L78,Rules!$A$8:$A$14,0))</f>
        <v>None</v>
      </c>
    </row>
    <row r="79" customFormat="false" ht="15" hidden="false" customHeight="false" outlineLevel="0" collapsed="false">
      <c r="A79" s="3" t="s">
        <v>122</v>
      </c>
      <c r="B79" s="13" t="b">
        <f aca="false">ISNUMBER(MATCH(A79,Booking!$A:$A,0))</f>
        <v>1</v>
      </c>
      <c r="C79" s="13" t="b">
        <f aca="false">ISNUMBER(MATCH(A79,Confirmations!$A:$A,0))</f>
        <v>1</v>
      </c>
      <c r="D79" s="3" t="str">
        <f aca="false">IFERROR(INDEX(Booking!$C:$C,MATCH($A79,Booking!$A:$A,0)),"")</f>
        <v>Aldridge Capital</v>
      </c>
      <c r="E79" s="3" t="str">
        <f aca="false">IFERROR(INDEX(Confirmations!$C:$C,MATCH($A79,Confirmations!$A:$A,0)),"")</f>
        <v>Aldridge Capital</v>
      </c>
      <c r="F79" s="14" t="n">
        <f aca="false">IFERROR(INDEX(Booking!$D:$D,MATCH($A79,Booking!$A:$A,0)),"")</f>
        <v>26000000</v>
      </c>
      <c r="G79" s="14" t="n">
        <f aca="false">IFERROR(INDEX(Confirmations!$D:$D,MATCH($A79,Confirmations!$A:$A,0)),"")</f>
        <v>26000000</v>
      </c>
      <c r="H79" s="15" t="n">
        <f aca="false">IFERROR(INDEX(Booking!$E:$E,MATCH($A79,Booking!$A:$A,0)),"")</f>
        <v>2.3707</v>
      </c>
      <c r="I79" s="15" t="n">
        <f aca="false">IFERROR(INDEX(Confirmations!$E:$E,MATCH($A79,Confirmations!$A:$A,0)),"")</f>
        <v>2.3707</v>
      </c>
      <c r="J79" s="3" t="n">
        <f aca="false">IFERROR(INDEX(Booking!$F:$F,MATCH($A79,Booking!$A:$A,0)),"")</f>
        <v>1</v>
      </c>
      <c r="K79" s="3" t="n">
        <f aca="false">IFERROR(INDEX(Confirmations!$F:$F,MATCH($A79,Confirmations!$A:$A,0)),"")</f>
        <v>1</v>
      </c>
      <c r="L79" s="3" t="str">
        <f aca="false">IF(NOT(C79),"Unconfirmed",IF(NOT(B79),"Unbooked",IF(D79&lt;&gt;E79,"Counterparty",IF(ABS(F79-G79)&gt;F79*Rules!$B$4/10000,"Notional",IF(H79&lt;&gt;I79,"Rate or price",IF(J79&lt;&gt;K79,"Value date","Matched"))))))</f>
        <v>Matched</v>
      </c>
      <c r="M79" s="3" t="n">
        <f aca="false">IF(B79,INDEX(Booking!$G:$G,MATCH(A79,Booking!$A:$A,0)),INDEX(Confirmations!$G:$G,MATCH(A79,Confirmations!$A:$A,0)))</f>
        <v>0</v>
      </c>
      <c r="N79" s="13" t="b">
        <f aca="false">AND(L79&lt;&gt;"Matched",M79&gt;Rules!$B$5)</f>
        <v>0</v>
      </c>
      <c r="O79" s="3" t="str">
        <f aca="false">INDEX(Rules!$B$8:$B$14,MATCH(L79,Rules!$A$8:$A$14,0))</f>
        <v>None</v>
      </c>
    </row>
    <row r="80" customFormat="false" ht="15" hidden="false" customHeight="false" outlineLevel="0" collapsed="false">
      <c r="A80" s="3" t="s">
        <v>123</v>
      </c>
      <c r="B80" s="13" t="b">
        <f aca="false">ISNUMBER(MATCH(A80,Booking!$A:$A,0))</f>
        <v>1</v>
      </c>
      <c r="C80" s="13" t="b">
        <f aca="false">ISNUMBER(MATCH(A80,Confirmations!$A:$A,0))</f>
        <v>1</v>
      </c>
      <c r="D80" s="3" t="str">
        <f aca="false">IFERROR(INDEX(Booking!$C:$C,MATCH($A80,Booking!$A:$A,0)),"")</f>
        <v>Aldridge Capital</v>
      </c>
      <c r="E80" s="3" t="str">
        <f aca="false">IFERROR(INDEX(Confirmations!$C:$C,MATCH($A80,Confirmations!$A:$A,0)),"")</f>
        <v>Aldridge Capital</v>
      </c>
      <c r="F80" s="14" t="n">
        <f aca="false">IFERROR(INDEX(Booking!$D:$D,MATCH($A80,Booking!$A:$A,0)),"")</f>
        <v>12000000</v>
      </c>
      <c r="G80" s="14" t="n">
        <f aca="false">IFERROR(INDEX(Confirmations!$D:$D,MATCH($A80,Confirmations!$A:$A,0)),"")</f>
        <v>12000000</v>
      </c>
      <c r="H80" s="15" t="n">
        <f aca="false">IFERROR(INDEX(Booking!$E:$E,MATCH($A80,Booking!$A:$A,0)),"")</f>
        <v>3.2223</v>
      </c>
      <c r="I80" s="15" t="n">
        <f aca="false">IFERROR(INDEX(Confirmations!$E:$E,MATCH($A80,Confirmations!$A:$A,0)),"")</f>
        <v>3.2223</v>
      </c>
      <c r="J80" s="3" t="n">
        <f aca="false">IFERROR(INDEX(Booking!$F:$F,MATCH($A80,Booking!$A:$A,0)),"")</f>
        <v>3</v>
      </c>
      <c r="K80" s="3" t="n">
        <f aca="false">IFERROR(INDEX(Confirmations!$F:$F,MATCH($A80,Confirmations!$A:$A,0)),"")</f>
        <v>3</v>
      </c>
      <c r="L80" s="3" t="str">
        <f aca="false">IF(NOT(C80),"Unconfirmed",IF(NOT(B80),"Unbooked",IF(D80&lt;&gt;E80,"Counterparty",IF(ABS(F80-G80)&gt;F80*Rules!$B$4/10000,"Notional",IF(H80&lt;&gt;I80,"Rate or price",IF(J80&lt;&gt;K80,"Value date","Matched"))))))</f>
        <v>Matched</v>
      </c>
      <c r="M80" s="3" t="n">
        <f aca="false">IF(B80,INDEX(Booking!$G:$G,MATCH(A80,Booking!$A:$A,0)),INDEX(Confirmations!$G:$G,MATCH(A80,Confirmations!$A:$A,0)))</f>
        <v>5</v>
      </c>
      <c r="N80" s="13" t="b">
        <f aca="false">AND(L80&lt;&gt;"Matched",M80&gt;Rules!$B$5)</f>
        <v>0</v>
      </c>
      <c r="O80" s="3" t="str">
        <f aca="false">INDEX(Rules!$B$8:$B$14,MATCH(L80,Rules!$A$8:$A$14,0))</f>
        <v>None</v>
      </c>
    </row>
    <row r="81" customFormat="false" ht="15" hidden="false" customHeight="false" outlineLevel="0" collapsed="false">
      <c r="A81" s="3" t="s">
        <v>124</v>
      </c>
      <c r="B81" s="13" t="b">
        <f aca="false">ISNUMBER(MATCH(A81,Booking!$A:$A,0))</f>
        <v>1</v>
      </c>
      <c r="C81" s="13" t="b">
        <f aca="false">ISNUMBER(MATCH(A81,Confirmations!$A:$A,0))</f>
        <v>1</v>
      </c>
      <c r="D81" s="3" t="str">
        <f aca="false">IFERROR(INDEX(Booking!$C:$C,MATCH($A81,Booking!$A:$A,0)),"")</f>
        <v>Solent Asset Management</v>
      </c>
      <c r="E81" s="3" t="str">
        <f aca="false">IFERROR(INDEX(Confirmations!$C:$C,MATCH($A81,Confirmations!$A:$A,0)),"")</f>
        <v>Solent Asset Management</v>
      </c>
      <c r="F81" s="14" t="n">
        <f aca="false">IFERROR(INDEX(Booking!$D:$D,MATCH($A81,Booking!$A:$A,0)),"")</f>
        <v>43000000</v>
      </c>
      <c r="G81" s="14" t="n">
        <f aca="false">IFERROR(INDEX(Confirmations!$D:$D,MATCH($A81,Confirmations!$A:$A,0)),"")</f>
        <v>43000000</v>
      </c>
      <c r="H81" s="15" t="n">
        <f aca="false">IFERROR(INDEX(Booking!$E:$E,MATCH($A81,Booking!$A:$A,0)),"")</f>
        <v>2.921</v>
      </c>
      <c r="I81" s="15" t="n">
        <f aca="false">IFERROR(INDEX(Confirmations!$E:$E,MATCH($A81,Confirmations!$A:$A,0)),"")</f>
        <v>2.921</v>
      </c>
      <c r="J81" s="3" t="n">
        <f aca="false">IFERROR(INDEX(Booking!$F:$F,MATCH($A81,Booking!$A:$A,0)),"")</f>
        <v>1</v>
      </c>
      <c r="K81" s="3" t="n">
        <f aca="false">IFERROR(INDEX(Confirmations!$F:$F,MATCH($A81,Confirmations!$A:$A,0)),"")</f>
        <v>1</v>
      </c>
      <c r="L81" s="3" t="str">
        <f aca="false">IF(NOT(C81),"Unconfirmed",IF(NOT(B81),"Unbooked",IF(D81&lt;&gt;E81,"Counterparty",IF(ABS(F81-G81)&gt;F81*Rules!$B$4/10000,"Notional",IF(H81&lt;&gt;I81,"Rate or price",IF(J81&lt;&gt;K81,"Value date","Matched"))))))</f>
        <v>Matched</v>
      </c>
      <c r="M81" s="3" t="n">
        <f aca="false">IF(B81,INDEX(Booking!$G:$G,MATCH(A81,Booking!$A:$A,0)),INDEX(Confirmations!$G:$G,MATCH(A81,Confirmations!$A:$A,0)))</f>
        <v>9</v>
      </c>
      <c r="N81" s="13" t="b">
        <f aca="false">AND(L81&lt;&gt;"Matched",M81&gt;Rules!$B$5)</f>
        <v>0</v>
      </c>
      <c r="O81" s="3" t="str">
        <f aca="false">INDEX(Rules!$B$8:$B$14,MATCH(L81,Rules!$A$8:$A$14,0))</f>
        <v>None</v>
      </c>
    </row>
    <row r="82" customFormat="false" ht="15" hidden="false" customHeight="false" outlineLevel="0" collapsed="false">
      <c r="A82" s="3" t="s">
        <v>125</v>
      </c>
      <c r="B82" s="13" t="b">
        <f aca="false">ISNUMBER(MATCH(A82,Booking!$A:$A,0))</f>
        <v>1</v>
      </c>
      <c r="C82" s="13" t="b">
        <f aca="false">ISNUMBER(MATCH(A82,Confirmations!$A:$A,0))</f>
        <v>1</v>
      </c>
      <c r="D82" s="3" t="str">
        <f aca="false">IFERROR(INDEX(Booking!$C:$C,MATCH($A82,Booking!$A:$A,0)),"")</f>
        <v>Solent Asset Management</v>
      </c>
      <c r="E82" s="3" t="str">
        <f aca="false">IFERROR(INDEX(Confirmations!$C:$C,MATCH($A82,Confirmations!$A:$A,0)),"")</f>
        <v>Solent Asset Management</v>
      </c>
      <c r="F82" s="14" t="n">
        <f aca="false">IFERROR(INDEX(Booking!$D:$D,MATCH($A82,Booking!$A:$A,0)),"")</f>
        <v>17000000</v>
      </c>
      <c r="G82" s="14" t="n">
        <f aca="false">IFERROR(INDEX(Confirmations!$D:$D,MATCH($A82,Confirmations!$A:$A,0)),"")</f>
        <v>17000000</v>
      </c>
      <c r="H82" s="15" t="n">
        <f aca="false">IFERROR(INDEX(Booking!$E:$E,MATCH($A82,Booking!$A:$A,0)),"")</f>
        <v>4.5503</v>
      </c>
      <c r="I82" s="15" t="n">
        <f aca="false">IFERROR(INDEX(Confirmations!$E:$E,MATCH($A82,Confirmations!$A:$A,0)),"")</f>
        <v>4.5503</v>
      </c>
      <c r="J82" s="3" t="n">
        <f aca="false">IFERROR(INDEX(Booking!$F:$F,MATCH($A82,Booking!$A:$A,0)),"")</f>
        <v>2</v>
      </c>
      <c r="K82" s="3" t="n">
        <f aca="false">IFERROR(INDEX(Confirmations!$F:$F,MATCH($A82,Confirmations!$A:$A,0)),"")</f>
        <v>2</v>
      </c>
      <c r="L82" s="3" t="str">
        <f aca="false">IF(NOT(C82),"Unconfirmed",IF(NOT(B82),"Unbooked",IF(D82&lt;&gt;E82,"Counterparty",IF(ABS(F82-G82)&gt;F82*Rules!$B$4/10000,"Notional",IF(H82&lt;&gt;I82,"Rate or price",IF(J82&lt;&gt;K82,"Value date","Matched"))))))</f>
        <v>Matched</v>
      </c>
      <c r="M82" s="3" t="n">
        <f aca="false">IF(B82,INDEX(Booking!$G:$G,MATCH(A82,Booking!$A:$A,0)),INDEX(Confirmations!$G:$G,MATCH(A82,Confirmations!$A:$A,0)))</f>
        <v>0</v>
      </c>
      <c r="N82" s="13" t="b">
        <f aca="false">AND(L82&lt;&gt;"Matched",M82&gt;Rules!$B$5)</f>
        <v>0</v>
      </c>
      <c r="O82" s="3" t="str">
        <f aca="false">INDEX(Rules!$B$8:$B$14,MATCH(L82,Rules!$A$8:$A$14,0))</f>
        <v>None</v>
      </c>
    </row>
    <row r="83" customFormat="false" ht="15" hidden="false" customHeight="false" outlineLevel="0" collapsed="false">
      <c r="A83" s="3" t="s">
        <v>126</v>
      </c>
      <c r="B83" s="13" t="b">
        <f aca="false">ISNUMBER(MATCH(A83,Booking!$A:$A,0))</f>
        <v>1</v>
      </c>
      <c r="C83" s="13" t="b">
        <f aca="false">ISNUMBER(MATCH(A83,Confirmations!$A:$A,0))</f>
        <v>1</v>
      </c>
      <c r="D83" s="3" t="str">
        <f aca="false">IFERROR(INDEX(Booking!$C:$C,MATCH($A83,Booking!$A:$A,0)),"")</f>
        <v>Aldridge Capital</v>
      </c>
      <c r="E83" s="3" t="str">
        <f aca="false">IFERROR(INDEX(Confirmations!$C:$C,MATCH($A83,Confirmations!$A:$A,0)),"")</f>
        <v>Aldridge Capital</v>
      </c>
      <c r="F83" s="14" t="n">
        <f aca="false">IFERROR(INDEX(Booking!$D:$D,MATCH($A83,Booking!$A:$A,0)),"")</f>
        <v>6000000</v>
      </c>
      <c r="G83" s="14" t="n">
        <f aca="false">IFERROR(INDEX(Confirmations!$D:$D,MATCH($A83,Confirmations!$A:$A,0)),"")</f>
        <v>6000000</v>
      </c>
      <c r="H83" s="15" t="n">
        <f aca="false">IFERROR(INDEX(Booking!$E:$E,MATCH($A83,Booking!$A:$A,0)),"")</f>
        <v>5.3124</v>
      </c>
      <c r="I83" s="15" t="n">
        <f aca="false">IFERROR(INDEX(Confirmations!$E:$E,MATCH($A83,Confirmations!$A:$A,0)),"")</f>
        <v>5.3124</v>
      </c>
      <c r="J83" s="3" t="n">
        <f aca="false">IFERROR(INDEX(Booking!$F:$F,MATCH($A83,Booking!$A:$A,0)),"")</f>
        <v>2</v>
      </c>
      <c r="K83" s="3" t="n">
        <f aca="false">IFERROR(INDEX(Confirmations!$F:$F,MATCH($A83,Confirmations!$A:$A,0)),"")</f>
        <v>2</v>
      </c>
      <c r="L83" s="3" t="str">
        <f aca="false">IF(NOT(C83),"Unconfirmed",IF(NOT(B83),"Unbooked",IF(D83&lt;&gt;E83,"Counterparty",IF(ABS(F83-G83)&gt;F83*Rules!$B$4/10000,"Notional",IF(H83&lt;&gt;I83,"Rate or price",IF(J83&lt;&gt;K83,"Value date","Matched"))))))</f>
        <v>Matched</v>
      </c>
      <c r="M83" s="3" t="n">
        <f aca="false">IF(B83,INDEX(Booking!$G:$G,MATCH(A83,Booking!$A:$A,0)),INDEX(Confirmations!$G:$G,MATCH(A83,Confirmations!$A:$A,0)))</f>
        <v>4</v>
      </c>
      <c r="N83" s="13" t="b">
        <f aca="false">AND(L83&lt;&gt;"Matched",M83&gt;Rules!$B$5)</f>
        <v>0</v>
      </c>
      <c r="O83" s="3" t="str">
        <f aca="false">INDEX(Rules!$B$8:$B$14,MATCH(L83,Rules!$A$8:$A$14,0))</f>
        <v>None</v>
      </c>
    </row>
    <row r="84" customFormat="false" ht="15" hidden="false" customHeight="false" outlineLevel="0" collapsed="false">
      <c r="A84" s="3" t="s">
        <v>127</v>
      </c>
      <c r="B84" s="13" t="b">
        <f aca="false">ISNUMBER(MATCH(A84,Booking!$A:$A,0))</f>
        <v>1</v>
      </c>
      <c r="C84" s="13" t="b">
        <f aca="false">ISNUMBER(MATCH(A84,Confirmations!$A:$A,0))</f>
        <v>1</v>
      </c>
      <c r="D84" s="3" t="str">
        <f aca="false">IFERROR(INDEX(Booking!$C:$C,MATCH($A84,Booking!$A:$A,0)),"")</f>
        <v>Vale Corporate Treasury</v>
      </c>
      <c r="E84" s="3" t="str">
        <f aca="false">IFERROR(INDEX(Confirmations!$C:$C,MATCH($A84,Confirmations!$A:$A,0)),"")</f>
        <v>Vale Corporate Treasury</v>
      </c>
      <c r="F84" s="14" t="n">
        <f aca="false">IFERROR(INDEX(Booking!$D:$D,MATCH($A84,Booking!$A:$A,0)),"")</f>
        <v>23000000</v>
      </c>
      <c r="G84" s="14" t="n">
        <f aca="false">IFERROR(INDEX(Confirmations!$D:$D,MATCH($A84,Confirmations!$A:$A,0)),"")</f>
        <v>23000000</v>
      </c>
      <c r="H84" s="15" t="n">
        <f aca="false">IFERROR(INDEX(Booking!$E:$E,MATCH($A84,Booking!$A:$A,0)),"")</f>
        <v>3.207</v>
      </c>
      <c r="I84" s="15" t="n">
        <f aca="false">IFERROR(INDEX(Confirmations!$E:$E,MATCH($A84,Confirmations!$A:$A,0)),"")</f>
        <v>3.207</v>
      </c>
      <c r="J84" s="3" t="n">
        <f aca="false">IFERROR(INDEX(Booking!$F:$F,MATCH($A84,Booking!$A:$A,0)),"")</f>
        <v>3</v>
      </c>
      <c r="K84" s="3" t="n">
        <f aca="false">IFERROR(INDEX(Confirmations!$F:$F,MATCH($A84,Confirmations!$A:$A,0)),"")</f>
        <v>3</v>
      </c>
      <c r="L84" s="3" t="str">
        <f aca="false">IF(NOT(C84),"Unconfirmed",IF(NOT(B84),"Unbooked",IF(D84&lt;&gt;E84,"Counterparty",IF(ABS(F84-G84)&gt;F84*Rules!$B$4/10000,"Notional",IF(H84&lt;&gt;I84,"Rate or price",IF(J84&lt;&gt;K84,"Value date","Matched"))))))</f>
        <v>Matched</v>
      </c>
      <c r="M84" s="3" t="n">
        <f aca="false">IF(B84,INDEX(Booking!$G:$G,MATCH(A84,Booking!$A:$A,0)),INDEX(Confirmations!$G:$G,MATCH(A84,Confirmations!$A:$A,0)))</f>
        <v>1</v>
      </c>
      <c r="N84" s="13" t="b">
        <f aca="false">AND(L84&lt;&gt;"Matched",M84&gt;Rules!$B$5)</f>
        <v>0</v>
      </c>
      <c r="O84" s="3" t="str">
        <f aca="false">INDEX(Rules!$B$8:$B$14,MATCH(L84,Rules!$A$8:$A$14,0))</f>
        <v>None</v>
      </c>
    </row>
    <row r="85" customFormat="false" ht="15" hidden="false" customHeight="false" outlineLevel="0" collapsed="false">
      <c r="A85" s="3" t="s">
        <v>128</v>
      </c>
      <c r="B85" s="13" t="b">
        <f aca="false">ISNUMBER(MATCH(A85,Booking!$A:$A,0))</f>
        <v>1</v>
      </c>
      <c r="C85" s="13" t="b">
        <f aca="false">ISNUMBER(MATCH(A85,Confirmations!$A:$A,0))</f>
        <v>1</v>
      </c>
      <c r="D85" s="3" t="str">
        <f aca="false">IFERROR(INDEX(Booking!$C:$C,MATCH($A85,Booking!$A:$A,0)),"")</f>
        <v>Northbay Pension Fund</v>
      </c>
      <c r="E85" s="3" t="str">
        <f aca="false">IFERROR(INDEX(Confirmations!$C:$C,MATCH($A85,Confirmations!$A:$A,0)),"")</f>
        <v>Northbay Pension Fund</v>
      </c>
      <c r="F85" s="14" t="n">
        <f aca="false">IFERROR(INDEX(Booking!$D:$D,MATCH($A85,Booking!$A:$A,0)),"")</f>
        <v>27000000</v>
      </c>
      <c r="G85" s="14" t="n">
        <f aca="false">IFERROR(INDEX(Confirmations!$D:$D,MATCH($A85,Confirmations!$A:$A,0)),"")</f>
        <v>27000000</v>
      </c>
      <c r="H85" s="15" t="n">
        <f aca="false">IFERROR(INDEX(Booking!$E:$E,MATCH($A85,Booking!$A:$A,0)),"")</f>
        <v>5.6317</v>
      </c>
      <c r="I85" s="15" t="n">
        <f aca="false">IFERROR(INDEX(Confirmations!$E:$E,MATCH($A85,Confirmations!$A:$A,0)),"")</f>
        <v>5.6317</v>
      </c>
      <c r="J85" s="3" t="n">
        <f aca="false">IFERROR(INDEX(Booking!$F:$F,MATCH($A85,Booking!$A:$A,0)),"")</f>
        <v>1</v>
      </c>
      <c r="K85" s="3" t="n">
        <f aca="false">IFERROR(INDEX(Confirmations!$F:$F,MATCH($A85,Confirmations!$A:$A,0)),"")</f>
        <v>1</v>
      </c>
      <c r="L85" s="3" t="str">
        <f aca="false">IF(NOT(C85),"Unconfirmed",IF(NOT(B85),"Unbooked",IF(D85&lt;&gt;E85,"Counterparty",IF(ABS(F85-G85)&gt;F85*Rules!$B$4/10000,"Notional",IF(H85&lt;&gt;I85,"Rate or price",IF(J85&lt;&gt;K85,"Value date","Matched"))))))</f>
        <v>Matched</v>
      </c>
      <c r="M85" s="3" t="n">
        <f aca="false">IF(B85,INDEX(Booking!$G:$G,MATCH(A85,Booking!$A:$A,0)),INDEX(Confirmations!$G:$G,MATCH(A85,Confirmations!$A:$A,0)))</f>
        <v>0</v>
      </c>
      <c r="N85" s="13" t="b">
        <f aca="false">AND(L85&lt;&gt;"Matched",M85&gt;Rules!$B$5)</f>
        <v>0</v>
      </c>
      <c r="O85" s="3" t="str">
        <f aca="false">INDEX(Rules!$B$8:$B$14,MATCH(L85,Rules!$A$8:$A$14,0))</f>
        <v>None</v>
      </c>
    </row>
    <row r="86" customFormat="false" ht="15" hidden="false" customHeight="false" outlineLevel="0" collapsed="false">
      <c r="A86" s="3" t="s">
        <v>129</v>
      </c>
      <c r="B86" s="13" t="b">
        <f aca="false">ISNUMBER(MATCH(A86,Booking!$A:$A,0))</f>
        <v>1</v>
      </c>
      <c r="C86" s="13" t="b">
        <f aca="false">ISNUMBER(MATCH(A86,Confirmations!$A:$A,0))</f>
        <v>1</v>
      </c>
      <c r="D86" s="3" t="str">
        <f aca="false">IFERROR(INDEX(Booking!$C:$C,MATCH($A86,Booking!$A:$A,0)),"")</f>
        <v>Solent Asset Management</v>
      </c>
      <c r="E86" s="3" t="str">
        <f aca="false">IFERROR(INDEX(Confirmations!$C:$C,MATCH($A86,Confirmations!$A:$A,0)),"")</f>
        <v>Solent Asset Management</v>
      </c>
      <c r="F86" s="14" t="n">
        <f aca="false">IFERROR(INDEX(Booking!$D:$D,MATCH($A86,Booking!$A:$A,0)),"")</f>
        <v>8000000</v>
      </c>
      <c r="G86" s="14" t="n">
        <f aca="false">IFERROR(INDEX(Confirmations!$D:$D,MATCH($A86,Confirmations!$A:$A,0)),"")</f>
        <v>8000000</v>
      </c>
      <c r="H86" s="15" t="n">
        <f aca="false">IFERROR(INDEX(Booking!$E:$E,MATCH($A86,Booking!$A:$A,0)),"")</f>
        <v>3.3624</v>
      </c>
      <c r="I86" s="15" t="n">
        <f aca="false">IFERROR(INDEX(Confirmations!$E:$E,MATCH($A86,Confirmations!$A:$A,0)),"")</f>
        <v>3.3624</v>
      </c>
      <c r="J86" s="3" t="n">
        <f aca="false">IFERROR(INDEX(Booking!$F:$F,MATCH($A86,Booking!$A:$A,0)),"")</f>
        <v>3</v>
      </c>
      <c r="K86" s="3" t="n">
        <f aca="false">IFERROR(INDEX(Confirmations!$F:$F,MATCH($A86,Confirmations!$A:$A,0)),"")</f>
        <v>3</v>
      </c>
      <c r="L86" s="3" t="str">
        <f aca="false">IF(NOT(C86),"Unconfirmed",IF(NOT(B86),"Unbooked",IF(D86&lt;&gt;E86,"Counterparty",IF(ABS(F86-G86)&gt;F86*Rules!$B$4/10000,"Notional",IF(H86&lt;&gt;I86,"Rate or price",IF(J86&lt;&gt;K86,"Value date","Matched"))))))</f>
        <v>Matched</v>
      </c>
      <c r="M86" s="3" t="n">
        <f aca="false">IF(B86,INDEX(Booking!$G:$G,MATCH(A86,Booking!$A:$A,0)),INDEX(Confirmations!$G:$G,MATCH(A86,Confirmations!$A:$A,0)))</f>
        <v>4</v>
      </c>
      <c r="N86" s="13" t="b">
        <f aca="false">AND(L86&lt;&gt;"Matched",M86&gt;Rules!$B$5)</f>
        <v>0</v>
      </c>
      <c r="O86" s="3" t="str">
        <f aca="false">INDEX(Rules!$B$8:$B$14,MATCH(L86,Rules!$A$8:$A$14,0))</f>
        <v>None</v>
      </c>
    </row>
    <row r="87" customFormat="false" ht="15" hidden="false" customHeight="false" outlineLevel="0" collapsed="false">
      <c r="A87" s="3" t="s">
        <v>130</v>
      </c>
      <c r="B87" s="13" t="b">
        <f aca="false">ISNUMBER(MATCH(A87,Booking!$A:$A,0))</f>
        <v>1</v>
      </c>
      <c r="C87" s="13" t="b">
        <f aca="false">ISNUMBER(MATCH(A87,Confirmations!$A:$A,0))</f>
        <v>1</v>
      </c>
      <c r="D87" s="3" t="str">
        <f aca="false">IFERROR(INDEX(Booking!$C:$C,MATCH($A87,Booking!$A:$A,0)),"")</f>
        <v>Tarn Energy Trading</v>
      </c>
      <c r="E87" s="3" t="str">
        <f aca="false">IFERROR(INDEX(Confirmations!$C:$C,MATCH($A87,Confirmations!$A:$A,0)),"")</f>
        <v>Tarn Energy Trading</v>
      </c>
      <c r="F87" s="14" t="n">
        <f aca="false">IFERROR(INDEX(Booking!$D:$D,MATCH($A87,Booking!$A:$A,0)),"")</f>
        <v>23000000</v>
      </c>
      <c r="G87" s="14" t="n">
        <f aca="false">IFERROR(INDEX(Confirmations!$D:$D,MATCH($A87,Confirmations!$A:$A,0)),"")</f>
        <v>23000000</v>
      </c>
      <c r="H87" s="15" t="n">
        <f aca="false">IFERROR(INDEX(Booking!$E:$E,MATCH($A87,Booking!$A:$A,0)),"")</f>
        <v>4.0669</v>
      </c>
      <c r="I87" s="15" t="n">
        <f aca="false">IFERROR(INDEX(Confirmations!$E:$E,MATCH($A87,Confirmations!$A:$A,0)),"")</f>
        <v>4.0669</v>
      </c>
      <c r="J87" s="3" t="n">
        <f aca="false">IFERROR(INDEX(Booking!$F:$F,MATCH($A87,Booking!$A:$A,0)),"")</f>
        <v>3</v>
      </c>
      <c r="K87" s="3" t="n">
        <f aca="false">IFERROR(INDEX(Confirmations!$F:$F,MATCH($A87,Confirmations!$A:$A,0)),"")</f>
        <v>3</v>
      </c>
      <c r="L87" s="3" t="str">
        <f aca="false">IF(NOT(C87),"Unconfirmed",IF(NOT(B87),"Unbooked",IF(D87&lt;&gt;E87,"Counterparty",IF(ABS(F87-G87)&gt;F87*Rules!$B$4/10000,"Notional",IF(H87&lt;&gt;I87,"Rate or price",IF(J87&lt;&gt;K87,"Value date","Matched"))))))</f>
        <v>Matched</v>
      </c>
      <c r="M87" s="3" t="n">
        <f aca="false">IF(B87,INDEX(Booking!$G:$G,MATCH(A87,Booking!$A:$A,0)),INDEX(Confirmations!$G:$G,MATCH(A87,Confirmations!$A:$A,0)))</f>
        <v>3</v>
      </c>
      <c r="N87" s="13" t="b">
        <f aca="false">AND(L87&lt;&gt;"Matched",M87&gt;Rules!$B$5)</f>
        <v>0</v>
      </c>
      <c r="O87" s="3" t="str">
        <f aca="false">INDEX(Rules!$B$8:$B$14,MATCH(L87,Rules!$A$8:$A$14,0))</f>
        <v>None</v>
      </c>
    </row>
    <row r="88" customFormat="false" ht="15" hidden="false" customHeight="false" outlineLevel="0" collapsed="false">
      <c r="A88" s="3" t="s">
        <v>131</v>
      </c>
      <c r="B88" s="13" t="b">
        <f aca="false">ISNUMBER(MATCH(A88,Booking!$A:$A,0))</f>
        <v>1</v>
      </c>
      <c r="C88" s="13" t="b">
        <f aca="false">ISNUMBER(MATCH(A88,Confirmations!$A:$A,0))</f>
        <v>1</v>
      </c>
      <c r="D88" s="3" t="str">
        <f aca="false">IFERROR(INDEX(Booking!$C:$C,MATCH($A88,Booking!$A:$A,0)),"")</f>
        <v>Vale Corporate Treasury</v>
      </c>
      <c r="E88" s="3" t="str">
        <f aca="false">IFERROR(INDEX(Confirmations!$C:$C,MATCH($A88,Confirmations!$A:$A,0)),"")</f>
        <v>Vale Corporate Treasury</v>
      </c>
      <c r="F88" s="14" t="n">
        <f aca="false">IFERROR(INDEX(Booking!$D:$D,MATCH($A88,Booking!$A:$A,0)),"")</f>
        <v>26000000</v>
      </c>
      <c r="G88" s="14" t="n">
        <f aca="false">IFERROR(INDEX(Confirmations!$D:$D,MATCH($A88,Confirmations!$A:$A,0)),"")</f>
        <v>26000000</v>
      </c>
      <c r="H88" s="15" t="n">
        <f aca="false">IFERROR(INDEX(Booking!$E:$E,MATCH($A88,Booking!$A:$A,0)),"")</f>
        <v>6.4889</v>
      </c>
      <c r="I88" s="15" t="n">
        <f aca="false">IFERROR(INDEX(Confirmations!$E:$E,MATCH($A88,Confirmations!$A:$A,0)),"")</f>
        <v>6.4889</v>
      </c>
      <c r="J88" s="3" t="n">
        <f aca="false">IFERROR(INDEX(Booking!$F:$F,MATCH($A88,Booking!$A:$A,0)),"")</f>
        <v>1</v>
      </c>
      <c r="K88" s="3" t="n">
        <f aca="false">IFERROR(INDEX(Confirmations!$F:$F,MATCH($A88,Confirmations!$A:$A,0)),"")</f>
        <v>1</v>
      </c>
      <c r="L88" s="3" t="str">
        <f aca="false">IF(NOT(C88),"Unconfirmed",IF(NOT(B88),"Unbooked",IF(D88&lt;&gt;E88,"Counterparty",IF(ABS(F88-G88)&gt;F88*Rules!$B$4/10000,"Notional",IF(H88&lt;&gt;I88,"Rate or price",IF(J88&lt;&gt;K88,"Value date","Matched"))))))</f>
        <v>Matched</v>
      </c>
      <c r="M88" s="3" t="n">
        <f aca="false">IF(B88,INDEX(Booking!$G:$G,MATCH(A88,Booking!$A:$A,0)),INDEX(Confirmations!$G:$G,MATCH(A88,Confirmations!$A:$A,0)))</f>
        <v>0</v>
      </c>
      <c r="N88" s="13" t="b">
        <f aca="false">AND(L88&lt;&gt;"Matched",M88&gt;Rules!$B$5)</f>
        <v>0</v>
      </c>
      <c r="O88" s="3" t="str">
        <f aca="false">INDEX(Rules!$B$8:$B$14,MATCH(L88,Rules!$A$8:$A$14,0))</f>
        <v>None</v>
      </c>
    </row>
    <row r="89" customFormat="false" ht="15" hidden="false" customHeight="false" outlineLevel="0" collapsed="false">
      <c r="A89" s="3" t="s">
        <v>132</v>
      </c>
      <c r="B89" s="13" t="b">
        <f aca="false">ISNUMBER(MATCH(A89,Booking!$A:$A,0))</f>
        <v>1</v>
      </c>
      <c r="C89" s="13" t="b">
        <f aca="false">ISNUMBER(MATCH(A89,Confirmations!$A:$A,0))</f>
        <v>1</v>
      </c>
      <c r="D89" s="3" t="str">
        <f aca="false">IFERROR(INDEX(Booking!$C:$C,MATCH($A89,Booking!$A:$A,0)),"")</f>
        <v>Vale Corporate Treasury</v>
      </c>
      <c r="E89" s="3" t="str">
        <f aca="false">IFERROR(INDEX(Confirmations!$C:$C,MATCH($A89,Confirmations!$A:$A,0)),"")</f>
        <v>Vale Corporate Treasury</v>
      </c>
      <c r="F89" s="14" t="n">
        <f aca="false">IFERROR(INDEX(Booking!$D:$D,MATCH($A89,Booking!$A:$A,0)),"")</f>
        <v>39000000</v>
      </c>
      <c r="G89" s="14" t="n">
        <f aca="false">IFERROR(INDEX(Confirmations!$D:$D,MATCH($A89,Confirmations!$A:$A,0)),"")</f>
        <v>39000000</v>
      </c>
      <c r="H89" s="15" t="n">
        <f aca="false">IFERROR(INDEX(Booking!$E:$E,MATCH($A89,Booking!$A:$A,0)),"")</f>
        <v>5.4765</v>
      </c>
      <c r="I89" s="15" t="n">
        <f aca="false">IFERROR(INDEX(Confirmations!$E:$E,MATCH($A89,Confirmations!$A:$A,0)),"")</f>
        <v>5.4765</v>
      </c>
      <c r="J89" s="3" t="n">
        <f aca="false">IFERROR(INDEX(Booking!$F:$F,MATCH($A89,Booking!$A:$A,0)),"")</f>
        <v>2</v>
      </c>
      <c r="K89" s="3" t="n">
        <f aca="false">IFERROR(INDEX(Confirmations!$F:$F,MATCH($A89,Confirmations!$A:$A,0)),"")</f>
        <v>2</v>
      </c>
      <c r="L89" s="3" t="str">
        <f aca="false">IF(NOT(C89),"Unconfirmed",IF(NOT(B89),"Unbooked",IF(D89&lt;&gt;E89,"Counterparty",IF(ABS(F89-G89)&gt;F89*Rules!$B$4/10000,"Notional",IF(H89&lt;&gt;I89,"Rate or price",IF(J89&lt;&gt;K89,"Value date","Matched"))))))</f>
        <v>Matched</v>
      </c>
      <c r="M89" s="3" t="n">
        <f aca="false">IF(B89,INDEX(Booking!$G:$G,MATCH(A89,Booking!$A:$A,0)),INDEX(Confirmations!$G:$G,MATCH(A89,Confirmations!$A:$A,0)))</f>
        <v>6</v>
      </c>
      <c r="N89" s="13" t="b">
        <f aca="false">AND(L89&lt;&gt;"Matched",M89&gt;Rules!$B$5)</f>
        <v>0</v>
      </c>
      <c r="O89" s="3" t="str">
        <f aca="false">INDEX(Rules!$B$8:$B$14,MATCH(L89,Rules!$A$8:$A$14,0))</f>
        <v>None</v>
      </c>
    </row>
    <row r="90" customFormat="false" ht="15" hidden="false" customHeight="false" outlineLevel="0" collapsed="false">
      <c r="A90" s="3" t="s">
        <v>133</v>
      </c>
      <c r="B90" s="13" t="b">
        <f aca="false">ISNUMBER(MATCH(A90,Booking!$A:$A,0))</f>
        <v>1</v>
      </c>
      <c r="C90" s="13" t="b">
        <f aca="false">ISNUMBER(MATCH(A90,Confirmations!$A:$A,0))</f>
        <v>1</v>
      </c>
      <c r="D90" s="3" t="str">
        <f aca="false">IFERROR(INDEX(Booking!$C:$C,MATCH($A90,Booking!$A:$A,0)),"")</f>
        <v>Meridian Bank</v>
      </c>
      <c r="E90" s="3" t="str">
        <f aca="false">IFERROR(INDEX(Confirmations!$C:$C,MATCH($A90,Confirmations!$A:$A,0)),"")</f>
        <v>Meridian Bank</v>
      </c>
      <c r="F90" s="14" t="n">
        <f aca="false">IFERROR(INDEX(Booking!$D:$D,MATCH($A90,Booking!$A:$A,0)),"")</f>
        <v>49000000</v>
      </c>
      <c r="G90" s="14" t="n">
        <f aca="false">IFERROR(INDEX(Confirmations!$D:$D,MATCH($A90,Confirmations!$A:$A,0)),"")</f>
        <v>49000000</v>
      </c>
      <c r="H90" s="15" t="n">
        <f aca="false">IFERROR(INDEX(Booking!$E:$E,MATCH($A90,Booking!$A:$A,0)),"")</f>
        <v>5.0662</v>
      </c>
      <c r="I90" s="15" t="n">
        <f aca="false">IFERROR(INDEX(Confirmations!$E:$E,MATCH($A90,Confirmations!$A:$A,0)),"")</f>
        <v>5.0662</v>
      </c>
      <c r="J90" s="3" t="n">
        <f aca="false">IFERROR(INDEX(Booking!$F:$F,MATCH($A90,Booking!$A:$A,0)),"")</f>
        <v>2</v>
      </c>
      <c r="K90" s="3" t="n">
        <f aca="false">IFERROR(INDEX(Confirmations!$F:$F,MATCH($A90,Confirmations!$A:$A,0)),"")</f>
        <v>2</v>
      </c>
      <c r="L90" s="3" t="str">
        <f aca="false">IF(NOT(C90),"Unconfirmed",IF(NOT(B90),"Unbooked",IF(D90&lt;&gt;E90,"Counterparty",IF(ABS(F90-G90)&gt;F90*Rules!$B$4/10000,"Notional",IF(H90&lt;&gt;I90,"Rate or price",IF(J90&lt;&gt;K90,"Value date","Matched"))))))</f>
        <v>Matched</v>
      </c>
      <c r="M90" s="3" t="n">
        <f aca="false">IF(B90,INDEX(Booking!$G:$G,MATCH(A90,Booking!$A:$A,0)),INDEX(Confirmations!$G:$G,MATCH(A90,Confirmations!$A:$A,0)))</f>
        <v>0</v>
      </c>
      <c r="N90" s="13" t="b">
        <f aca="false">AND(L90&lt;&gt;"Matched",M90&gt;Rules!$B$5)</f>
        <v>0</v>
      </c>
      <c r="O90" s="3" t="str">
        <f aca="false">INDEX(Rules!$B$8:$B$14,MATCH(L90,Rules!$A$8:$A$14,0))</f>
        <v>None</v>
      </c>
    </row>
    <row r="91" customFormat="false" ht="15" hidden="false" customHeight="false" outlineLevel="0" collapsed="false">
      <c r="A91" s="3" t="s">
        <v>134</v>
      </c>
      <c r="B91" s="13" t="b">
        <f aca="false">ISNUMBER(MATCH(A91,Booking!$A:$A,0))</f>
        <v>1</v>
      </c>
      <c r="C91" s="13" t="b">
        <f aca="false">ISNUMBER(MATCH(A91,Confirmations!$A:$A,0))</f>
        <v>1</v>
      </c>
      <c r="D91" s="3" t="str">
        <f aca="false">IFERROR(INDEX(Booking!$C:$C,MATCH($A91,Booking!$A:$A,0)),"")</f>
        <v>Harbour Insurance</v>
      </c>
      <c r="E91" s="3" t="str">
        <f aca="false">IFERROR(INDEX(Confirmations!$C:$C,MATCH($A91,Confirmations!$A:$A,0)),"")</f>
        <v>Harbour Insurance</v>
      </c>
      <c r="F91" s="14" t="n">
        <f aca="false">IFERROR(INDEX(Booking!$D:$D,MATCH($A91,Booking!$A:$A,0)),"")</f>
        <v>22000000</v>
      </c>
      <c r="G91" s="14" t="n">
        <f aca="false">IFERROR(INDEX(Confirmations!$D:$D,MATCH($A91,Confirmations!$A:$A,0)),"")</f>
        <v>22000000</v>
      </c>
      <c r="H91" s="15" t="n">
        <f aca="false">IFERROR(INDEX(Booking!$E:$E,MATCH($A91,Booking!$A:$A,0)),"")</f>
        <v>6.3769</v>
      </c>
      <c r="I91" s="15" t="n">
        <f aca="false">IFERROR(INDEX(Confirmations!$E:$E,MATCH($A91,Confirmations!$A:$A,0)),"")</f>
        <v>6.3769</v>
      </c>
      <c r="J91" s="3" t="n">
        <f aca="false">IFERROR(INDEX(Booking!$F:$F,MATCH($A91,Booking!$A:$A,0)),"")</f>
        <v>3</v>
      </c>
      <c r="K91" s="3" t="n">
        <f aca="false">IFERROR(INDEX(Confirmations!$F:$F,MATCH($A91,Confirmations!$A:$A,0)),"")</f>
        <v>3</v>
      </c>
      <c r="L91" s="3" t="str">
        <f aca="false">IF(NOT(C91),"Unconfirmed",IF(NOT(B91),"Unbooked",IF(D91&lt;&gt;E91,"Counterparty",IF(ABS(F91-G91)&gt;F91*Rules!$B$4/10000,"Notional",IF(H91&lt;&gt;I91,"Rate or price",IF(J91&lt;&gt;K91,"Value date","Matched"))))))</f>
        <v>Matched</v>
      </c>
      <c r="M91" s="3" t="n">
        <f aca="false">IF(B91,INDEX(Booking!$G:$G,MATCH(A91,Booking!$A:$A,0)),INDEX(Confirmations!$G:$G,MATCH(A91,Confirmations!$A:$A,0)))</f>
        <v>0</v>
      </c>
      <c r="N91" s="13" t="b">
        <f aca="false">AND(L91&lt;&gt;"Matched",M91&gt;Rules!$B$5)</f>
        <v>0</v>
      </c>
      <c r="O91" s="3" t="str">
        <f aca="false">INDEX(Rules!$B$8:$B$14,MATCH(L91,Rules!$A$8:$A$14,0))</f>
        <v>None</v>
      </c>
    </row>
    <row r="92" customFormat="false" ht="15" hidden="false" customHeight="false" outlineLevel="0" collapsed="false">
      <c r="A92" s="3" t="s">
        <v>135</v>
      </c>
      <c r="B92" s="13" t="b">
        <f aca="false">ISNUMBER(MATCH(A92,Booking!$A:$A,0))</f>
        <v>1</v>
      </c>
      <c r="C92" s="13" t="b">
        <f aca="false">ISNUMBER(MATCH(A92,Confirmations!$A:$A,0))</f>
        <v>1</v>
      </c>
      <c r="D92" s="3" t="str">
        <f aca="false">IFERROR(INDEX(Booking!$C:$C,MATCH($A92,Booking!$A:$A,0)),"")</f>
        <v>Kestrel Macro Fund</v>
      </c>
      <c r="E92" s="3" t="str">
        <f aca="false">IFERROR(INDEX(Confirmations!$C:$C,MATCH($A92,Confirmations!$A:$A,0)),"")</f>
        <v>Kestrel Macro Fund</v>
      </c>
      <c r="F92" s="14" t="n">
        <f aca="false">IFERROR(INDEX(Booking!$D:$D,MATCH($A92,Booking!$A:$A,0)),"")</f>
        <v>19000000</v>
      </c>
      <c r="G92" s="14" t="n">
        <f aca="false">IFERROR(INDEX(Confirmations!$D:$D,MATCH($A92,Confirmations!$A:$A,0)),"")</f>
        <v>19000000</v>
      </c>
      <c r="H92" s="15" t="n">
        <f aca="false">IFERROR(INDEX(Booking!$E:$E,MATCH($A92,Booking!$A:$A,0)),"")</f>
        <v>6.795</v>
      </c>
      <c r="I92" s="15" t="n">
        <f aca="false">IFERROR(INDEX(Confirmations!$E:$E,MATCH($A92,Confirmations!$A:$A,0)),"")</f>
        <v>6.795</v>
      </c>
      <c r="J92" s="3" t="n">
        <f aca="false">IFERROR(INDEX(Booking!$F:$F,MATCH($A92,Booking!$A:$A,0)),"")</f>
        <v>2</v>
      </c>
      <c r="K92" s="3" t="n">
        <f aca="false">IFERROR(INDEX(Confirmations!$F:$F,MATCH($A92,Confirmations!$A:$A,0)),"")</f>
        <v>2</v>
      </c>
      <c r="L92" s="3" t="str">
        <f aca="false">IF(NOT(C92),"Unconfirmed",IF(NOT(B92),"Unbooked",IF(D92&lt;&gt;E92,"Counterparty",IF(ABS(F92-G92)&gt;F92*Rules!$B$4/10000,"Notional",IF(H92&lt;&gt;I92,"Rate or price",IF(J92&lt;&gt;K92,"Value date","Matched"))))))</f>
        <v>Matched</v>
      </c>
      <c r="M92" s="3" t="n">
        <f aca="false">IF(B92,INDEX(Booking!$G:$G,MATCH(A92,Booking!$A:$A,0)),INDEX(Confirmations!$G:$G,MATCH(A92,Confirmations!$A:$A,0)))</f>
        <v>3</v>
      </c>
      <c r="N92" s="13" t="b">
        <f aca="false">AND(L92&lt;&gt;"Matched",M92&gt;Rules!$B$5)</f>
        <v>0</v>
      </c>
      <c r="O92" s="3" t="str">
        <f aca="false">INDEX(Rules!$B$8:$B$14,MATCH(L92,Rules!$A$8:$A$14,0))</f>
        <v>None</v>
      </c>
    </row>
    <row r="93" customFormat="false" ht="15" hidden="false" customHeight="false" outlineLevel="0" collapsed="false">
      <c r="A93" s="3" t="s">
        <v>136</v>
      </c>
      <c r="B93" s="13" t="b">
        <f aca="false">ISNUMBER(MATCH(A93,Booking!$A:$A,0))</f>
        <v>1</v>
      </c>
      <c r="C93" s="13" t="b">
        <f aca="false">ISNUMBER(MATCH(A93,Confirmations!$A:$A,0))</f>
        <v>1</v>
      </c>
      <c r="D93" s="3" t="str">
        <f aca="false">IFERROR(INDEX(Booking!$C:$C,MATCH($A93,Booking!$A:$A,0)),"")</f>
        <v>Kestrel Macro Fund</v>
      </c>
      <c r="E93" s="3" t="str">
        <f aca="false">IFERROR(INDEX(Confirmations!$C:$C,MATCH($A93,Confirmations!$A:$A,0)),"")</f>
        <v>Kestrel Macro Fund</v>
      </c>
      <c r="F93" s="14" t="n">
        <f aca="false">IFERROR(INDEX(Booking!$D:$D,MATCH($A93,Booking!$A:$A,0)),"")</f>
        <v>2000000</v>
      </c>
      <c r="G93" s="14" t="n">
        <f aca="false">IFERROR(INDEX(Confirmations!$D:$D,MATCH($A93,Confirmations!$A:$A,0)),"")</f>
        <v>2000000</v>
      </c>
      <c r="H93" s="15" t="n">
        <f aca="false">IFERROR(INDEX(Booking!$E:$E,MATCH($A93,Booking!$A:$A,0)),"")</f>
        <v>1.8309</v>
      </c>
      <c r="I93" s="15" t="n">
        <f aca="false">IFERROR(INDEX(Confirmations!$E:$E,MATCH($A93,Confirmations!$A:$A,0)),"")</f>
        <v>1.8309</v>
      </c>
      <c r="J93" s="3" t="n">
        <f aca="false">IFERROR(INDEX(Booking!$F:$F,MATCH($A93,Booking!$A:$A,0)),"")</f>
        <v>2</v>
      </c>
      <c r="K93" s="3" t="n">
        <f aca="false">IFERROR(INDEX(Confirmations!$F:$F,MATCH($A93,Confirmations!$A:$A,0)),"")</f>
        <v>2</v>
      </c>
      <c r="L93" s="3" t="str">
        <f aca="false">IF(NOT(C93),"Unconfirmed",IF(NOT(B93),"Unbooked",IF(D93&lt;&gt;E93,"Counterparty",IF(ABS(F93-G93)&gt;F93*Rules!$B$4/10000,"Notional",IF(H93&lt;&gt;I93,"Rate or price",IF(J93&lt;&gt;K93,"Value date","Matched"))))))</f>
        <v>Matched</v>
      </c>
      <c r="M93" s="3" t="n">
        <f aca="false">IF(B93,INDEX(Booking!$G:$G,MATCH(A93,Booking!$A:$A,0)),INDEX(Confirmations!$G:$G,MATCH(A93,Confirmations!$A:$A,0)))</f>
        <v>0</v>
      </c>
      <c r="N93" s="13" t="b">
        <f aca="false">AND(L93&lt;&gt;"Matched",M93&gt;Rules!$B$5)</f>
        <v>0</v>
      </c>
      <c r="O93" s="3" t="str">
        <f aca="false">INDEX(Rules!$B$8:$B$14,MATCH(L93,Rules!$A$8:$A$14,0))</f>
        <v>None</v>
      </c>
    </row>
    <row r="94" customFormat="false" ht="15" hidden="false" customHeight="false" outlineLevel="0" collapsed="false">
      <c r="A94" s="3" t="s">
        <v>137</v>
      </c>
      <c r="B94" s="13" t="b">
        <f aca="false">ISNUMBER(MATCH(A94,Booking!$A:$A,0))</f>
        <v>1</v>
      </c>
      <c r="C94" s="13" t="b">
        <f aca="false">ISNUMBER(MATCH(A94,Confirmations!$A:$A,0))</f>
        <v>1</v>
      </c>
      <c r="D94" s="3" t="str">
        <f aca="false">IFERROR(INDEX(Booking!$C:$C,MATCH($A94,Booking!$A:$A,0)),"")</f>
        <v>Northbay Pension Fund</v>
      </c>
      <c r="E94" s="3" t="str">
        <f aca="false">IFERROR(INDEX(Confirmations!$C:$C,MATCH($A94,Confirmations!$A:$A,0)),"")</f>
        <v>Northbay Pension Fund</v>
      </c>
      <c r="F94" s="14" t="n">
        <f aca="false">IFERROR(INDEX(Booking!$D:$D,MATCH($A94,Booking!$A:$A,0)),"")</f>
        <v>4000000</v>
      </c>
      <c r="G94" s="14" t="n">
        <f aca="false">IFERROR(INDEX(Confirmations!$D:$D,MATCH($A94,Confirmations!$A:$A,0)),"")</f>
        <v>4000000</v>
      </c>
      <c r="H94" s="15" t="n">
        <f aca="false">IFERROR(INDEX(Booking!$E:$E,MATCH($A94,Booking!$A:$A,0)),"")</f>
        <v>6.5892</v>
      </c>
      <c r="I94" s="15" t="n">
        <f aca="false">IFERROR(INDEX(Confirmations!$E:$E,MATCH($A94,Confirmations!$A:$A,0)),"")</f>
        <v>6.5892</v>
      </c>
      <c r="J94" s="3" t="n">
        <f aca="false">IFERROR(INDEX(Booking!$F:$F,MATCH($A94,Booking!$A:$A,0)),"")</f>
        <v>3</v>
      </c>
      <c r="K94" s="3" t="n">
        <f aca="false">IFERROR(INDEX(Confirmations!$F:$F,MATCH($A94,Confirmations!$A:$A,0)),"")</f>
        <v>3</v>
      </c>
      <c r="L94" s="3" t="str">
        <f aca="false">IF(NOT(C94),"Unconfirmed",IF(NOT(B94),"Unbooked",IF(D94&lt;&gt;E94,"Counterparty",IF(ABS(F94-G94)&gt;F94*Rules!$B$4/10000,"Notional",IF(H94&lt;&gt;I94,"Rate or price",IF(J94&lt;&gt;K94,"Value date","Matched"))))))</f>
        <v>Matched</v>
      </c>
      <c r="M94" s="3" t="n">
        <f aca="false">IF(B94,INDEX(Booking!$G:$G,MATCH(A94,Booking!$A:$A,0)),INDEX(Confirmations!$G:$G,MATCH(A94,Confirmations!$A:$A,0)))</f>
        <v>1</v>
      </c>
      <c r="N94" s="13" t="b">
        <f aca="false">AND(L94&lt;&gt;"Matched",M94&gt;Rules!$B$5)</f>
        <v>0</v>
      </c>
      <c r="O94" s="3" t="str">
        <f aca="false">INDEX(Rules!$B$8:$B$14,MATCH(L94,Rules!$A$8:$A$14,0))</f>
        <v>None</v>
      </c>
    </row>
    <row r="95" customFormat="false" ht="15" hidden="false" customHeight="false" outlineLevel="0" collapsed="false">
      <c r="A95" s="3" t="s">
        <v>138</v>
      </c>
      <c r="B95" s="13" t="b">
        <f aca="false">ISNUMBER(MATCH(A95,Booking!$A:$A,0))</f>
        <v>1</v>
      </c>
      <c r="C95" s="13" t="b">
        <f aca="false">ISNUMBER(MATCH(A95,Confirmations!$A:$A,0))</f>
        <v>1</v>
      </c>
      <c r="D95" s="3" t="str">
        <f aca="false">IFERROR(INDEX(Booking!$C:$C,MATCH($A95,Booking!$A:$A,0)),"")</f>
        <v>Northbay Pension Fund</v>
      </c>
      <c r="E95" s="3" t="str">
        <f aca="false">IFERROR(INDEX(Confirmations!$C:$C,MATCH($A95,Confirmations!$A:$A,0)),"")</f>
        <v>Northbay Pension Fund</v>
      </c>
      <c r="F95" s="14" t="n">
        <f aca="false">IFERROR(INDEX(Booking!$D:$D,MATCH($A95,Booking!$A:$A,0)),"")</f>
        <v>24000000</v>
      </c>
      <c r="G95" s="14" t="n">
        <f aca="false">IFERROR(INDEX(Confirmations!$D:$D,MATCH($A95,Confirmations!$A:$A,0)),"")</f>
        <v>24000000</v>
      </c>
      <c r="H95" s="15" t="n">
        <f aca="false">IFERROR(INDEX(Booking!$E:$E,MATCH($A95,Booking!$A:$A,0)),"")</f>
        <v>3.8013</v>
      </c>
      <c r="I95" s="15" t="n">
        <f aca="false">IFERROR(INDEX(Confirmations!$E:$E,MATCH($A95,Confirmations!$A:$A,0)),"")</f>
        <v>3.8013</v>
      </c>
      <c r="J95" s="3" t="n">
        <f aca="false">IFERROR(INDEX(Booking!$F:$F,MATCH($A95,Booking!$A:$A,0)),"")</f>
        <v>2</v>
      </c>
      <c r="K95" s="3" t="n">
        <f aca="false">IFERROR(INDEX(Confirmations!$F:$F,MATCH($A95,Confirmations!$A:$A,0)),"")</f>
        <v>2</v>
      </c>
      <c r="L95" s="3" t="str">
        <f aca="false">IF(NOT(C95),"Unconfirmed",IF(NOT(B95),"Unbooked",IF(D95&lt;&gt;E95,"Counterparty",IF(ABS(F95-G95)&gt;F95*Rules!$B$4/10000,"Notional",IF(H95&lt;&gt;I95,"Rate or price",IF(J95&lt;&gt;K95,"Value date","Matched"))))))</f>
        <v>Matched</v>
      </c>
      <c r="M95" s="3" t="n">
        <f aca="false">IF(B95,INDEX(Booking!$G:$G,MATCH(A95,Booking!$A:$A,0)),INDEX(Confirmations!$G:$G,MATCH(A95,Confirmations!$A:$A,0)))</f>
        <v>0</v>
      </c>
      <c r="N95" s="13" t="b">
        <f aca="false">AND(L95&lt;&gt;"Matched",M95&gt;Rules!$B$5)</f>
        <v>0</v>
      </c>
      <c r="O95" s="3" t="str">
        <f aca="false">INDEX(Rules!$B$8:$B$14,MATCH(L95,Rules!$A$8:$A$14,0))</f>
        <v>None</v>
      </c>
    </row>
    <row r="96" customFormat="false" ht="15" hidden="false" customHeight="false" outlineLevel="0" collapsed="false">
      <c r="A96" s="3" t="s">
        <v>284</v>
      </c>
      <c r="B96" s="13" t="b">
        <f aca="false">ISNUMBER(MATCH(A96,Booking!$A:$A,0))</f>
        <v>0</v>
      </c>
      <c r="C96" s="13" t="b">
        <f aca="false">ISNUMBER(MATCH(A96,Confirmations!$A:$A,0))</f>
        <v>1</v>
      </c>
      <c r="D96" s="3" t="str">
        <f aca="false">IFERROR(INDEX(Booking!$C:$C,MATCH($A96,Booking!$A:$A,0)),"")</f>
        <v/>
      </c>
      <c r="E96" s="3" t="str">
        <f aca="false">IFERROR(INDEX(Confirmations!$C:$C,MATCH($A96,Confirmations!$A:$A,0)),"")</f>
        <v>Solent Asset Management</v>
      </c>
      <c r="F96" s="14" t="str">
        <f aca="false">IFERROR(INDEX(Booking!$D:$D,MATCH($A96,Booking!$A:$A,0)),"")</f>
        <v/>
      </c>
      <c r="G96" s="14" t="n">
        <f aca="false">IFERROR(INDEX(Confirmations!$D:$D,MATCH($A96,Confirmations!$A:$A,0)),"")</f>
        <v>40000000</v>
      </c>
      <c r="H96" s="15" t="str">
        <f aca="false">IFERROR(INDEX(Booking!$E:$E,MATCH($A96,Booking!$A:$A,0)),"")</f>
        <v/>
      </c>
      <c r="I96" s="15" t="n">
        <f aca="false">IFERROR(INDEX(Confirmations!$E:$E,MATCH($A96,Confirmations!$A:$A,0)),"")</f>
        <v>3.7711</v>
      </c>
      <c r="J96" s="3" t="str">
        <f aca="false">IFERROR(INDEX(Booking!$F:$F,MATCH($A96,Booking!$A:$A,0)),"")</f>
        <v/>
      </c>
      <c r="K96" s="3" t="n">
        <f aca="false">IFERROR(INDEX(Confirmations!$F:$F,MATCH($A96,Confirmations!$A:$A,0)),"")</f>
        <v>3</v>
      </c>
      <c r="L96" s="3" t="str">
        <f aca="false">IF(NOT(C96),"Unconfirmed",IF(NOT(B96),"Unbooked",IF(D96&lt;&gt;E96,"Counterparty",IF(ABS(F96-G96)&gt;F96*Rules!$B$4/10000,"Notional",IF(H96&lt;&gt;I96,"Rate or price",IF(J96&lt;&gt;K96,"Value date","Matched"))))))</f>
        <v>Unbooked</v>
      </c>
      <c r="M96" s="3" t="n">
        <f aca="false">IF(B96,INDEX(Booking!$G:$G,MATCH(A96,Booking!$A:$A,0)),INDEX(Confirmations!$G:$G,MATCH(A96,Confirmations!$A:$A,0)))</f>
        <v>6</v>
      </c>
      <c r="N96" s="13" t="b">
        <f aca="false">AND(L96&lt;&gt;"Matched",M96&gt;Rules!$B$5)</f>
        <v>1</v>
      </c>
      <c r="O96" s="3" t="str">
        <f aca="false">INDEX(Rules!$B$8:$B$14,MATCH(L96,Rules!$A$8:$A$14,0))</f>
        <v>Front office: book or reject</v>
      </c>
    </row>
    <row r="97" customFormat="false" ht="15" hidden="false" customHeight="false" outlineLevel="0" collapsed="false">
      <c r="A97" s="3" t="s">
        <v>139</v>
      </c>
      <c r="B97" s="13" t="b">
        <f aca="false">ISNUMBER(MATCH(A97,Booking!$A:$A,0))</f>
        <v>1</v>
      </c>
      <c r="C97" s="13" t="b">
        <f aca="false">ISNUMBER(MATCH(A97,Confirmations!$A:$A,0))</f>
        <v>1</v>
      </c>
      <c r="D97" s="3" t="str">
        <f aca="false">IFERROR(INDEX(Booking!$C:$C,MATCH($A97,Booking!$A:$A,0)),"")</f>
        <v>Northbay Pension Fund</v>
      </c>
      <c r="E97" s="3" t="str">
        <f aca="false">IFERROR(INDEX(Confirmations!$C:$C,MATCH($A97,Confirmations!$A:$A,0)),"")</f>
        <v>Northbay Pension Fund</v>
      </c>
      <c r="F97" s="14" t="n">
        <f aca="false">IFERROR(INDEX(Booking!$D:$D,MATCH($A97,Booking!$A:$A,0)),"")</f>
        <v>39000000</v>
      </c>
      <c r="G97" s="14" t="n">
        <f aca="false">IFERROR(INDEX(Confirmations!$D:$D,MATCH($A97,Confirmations!$A:$A,0)),"")</f>
        <v>39000000</v>
      </c>
      <c r="H97" s="15" t="n">
        <f aca="false">IFERROR(INDEX(Booking!$E:$E,MATCH($A97,Booking!$A:$A,0)),"")</f>
        <v>1.7342</v>
      </c>
      <c r="I97" s="15" t="n">
        <f aca="false">IFERROR(INDEX(Confirmations!$E:$E,MATCH($A97,Confirmations!$A:$A,0)),"")</f>
        <v>1.7342</v>
      </c>
      <c r="J97" s="3" t="n">
        <f aca="false">IFERROR(INDEX(Booking!$F:$F,MATCH($A97,Booking!$A:$A,0)),"")</f>
        <v>1</v>
      </c>
      <c r="K97" s="3" t="n">
        <f aca="false">IFERROR(INDEX(Confirmations!$F:$F,MATCH($A97,Confirmations!$A:$A,0)),"")</f>
        <v>1</v>
      </c>
      <c r="L97" s="3" t="str">
        <f aca="false">IF(NOT(C97),"Unconfirmed",IF(NOT(B97),"Unbooked",IF(D97&lt;&gt;E97,"Counterparty",IF(ABS(F97-G97)&gt;F97*Rules!$B$4/10000,"Notional",IF(H97&lt;&gt;I97,"Rate or price",IF(J97&lt;&gt;K97,"Value date","Matched"))))))</f>
        <v>Matched</v>
      </c>
      <c r="M97" s="3" t="n">
        <f aca="false">IF(B97,INDEX(Booking!$G:$G,MATCH(A97,Booking!$A:$A,0)),INDEX(Confirmations!$G:$G,MATCH(A97,Confirmations!$A:$A,0)))</f>
        <v>4</v>
      </c>
      <c r="N97" s="13" t="b">
        <f aca="false">AND(L97&lt;&gt;"Matched",M97&gt;Rules!$B$5)</f>
        <v>0</v>
      </c>
      <c r="O97" s="3" t="str">
        <f aca="false">INDEX(Rules!$B$8:$B$14,MATCH(L97,Rules!$A$8:$A$14,0))</f>
        <v>None</v>
      </c>
    </row>
    <row r="98" customFormat="false" ht="15" hidden="false" customHeight="false" outlineLevel="0" collapsed="false">
      <c r="A98" s="3" t="s">
        <v>140</v>
      </c>
      <c r="B98" s="13" t="b">
        <f aca="false">ISNUMBER(MATCH(A98,Booking!$A:$A,0))</f>
        <v>1</v>
      </c>
      <c r="C98" s="13" t="b">
        <f aca="false">ISNUMBER(MATCH(A98,Confirmations!$A:$A,0))</f>
        <v>1</v>
      </c>
      <c r="D98" s="3" t="str">
        <f aca="false">IFERROR(INDEX(Booking!$C:$C,MATCH($A98,Booking!$A:$A,0)),"")</f>
        <v>Solent Asset Management</v>
      </c>
      <c r="E98" s="3" t="str">
        <f aca="false">IFERROR(INDEX(Confirmations!$C:$C,MATCH($A98,Confirmations!$A:$A,0)),"")</f>
        <v>Solent Asset Management</v>
      </c>
      <c r="F98" s="14" t="n">
        <f aca="false">IFERROR(INDEX(Booking!$D:$D,MATCH($A98,Booking!$A:$A,0)),"")</f>
        <v>18000000</v>
      </c>
      <c r="G98" s="14" t="n">
        <f aca="false">IFERROR(INDEX(Confirmations!$D:$D,MATCH($A98,Confirmations!$A:$A,0)),"")</f>
        <v>18000000</v>
      </c>
      <c r="H98" s="15" t="n">
        <f aca="false">IFERROR(INDEX(Booking!$E:$E,MATCH($A98,Booking!$A:$A,0)),"")</f>
        <v>1.2593</v>
      </c>
      <c r="I98" s="15" t="n">
        <f aca="false">IFERROR(INDEX(Confirmations!$E:$E,MATCH($A98,Confirmations!$A:$A,0)),"")</f>
        <v>1.2593</v>
      </c>
      <c r="J98" s="3" t="n">
        <f aca="false">IFERROR(INDEX(Booking!$F:$F,MATCH($A98,Booking!$A:$A,0)),"")</f>
        <v>2</v>
      </c>
      <c r="K98" s="3" t="n">
        <f aca="false">IFERROR(INDEX(Confirmations!$F:$F,MATCH($A98,Confirmations!$A:$A,0)),"")</f>
        <v>2</v>
      </c>
      <c r="L98" s="3" t="str">
        <f aca="false">IF(NOT(C98),"Unconfirmed",IF(NOT(B98),"Unbooked",IF(D98&lt;&gt;E98,"Counterparty",IF(ABS(F98-G98)&gt;F98*Rules!$B$4/10000,"Notional",IF(H98&lt;&gt;I98,"Rate or price",IF(J98&lt;&gt;K98,"Value date","Matched"))))))</f>
        <v>Matched</v>
      </c>
      <c r="M98" s="3" t="n">
        <f aca="false">IF(B98,INDEX(Booking!$G:$G,MATCH(A98,Booking!$A:$A,0)),INDEX(Confirmations!$G:$G,MATCH(A98,Confirmations!$A:$A,0)))</f>
        <v>1</v>
      </c>
      <c r="N98" s="13" t="b">
        <f aca="false">AND(L98&lt;&gt;"Matched",M98&gt;Rules!$B$5)</f>
        <v>0</v>
      </c>
      <c r="O98" s="3" t="str">
        <f aca="false">INDEX(Rules!$B$8:$B$14,MATCH(L98,Rules!$A$8:$A$14,0))</f>
        <v>None</v>
      </c>
    </row>
    <row r="99" customFormat="false" ht="15" hidden="false" customHeight="false" outlineLevel="0" collapsed="false">
      <c r="A99" s="3" t="s">
        <v>141</v>
      </c>
      <c r="B99" s="13" t="b">
        <f aca="false">ISNUMBER(MATCH(A99,Booking!$A:$A,0))</f>
        <v>1</v>
      </c>
      <c r="C99" s="13" t="b">
        <f aca="false">ISNUMBER(MATCH(A99,Confirmations!$A:$A,0))</f>
        <v>1</v>
      </c>
      <c r="D99" s="3" t="str">
        <f aca="false">IFERROR(INDEX(Booking!$C:$C,MATCH($A99,Booking!$A:$A,0)),"")</f>
        <v>Meridian Bank</v>
      </c>
      <c r="E99" s="3" t="str">
        <f aca="false">IFERROR(INDEX(Confirmations!$C:$C,MATCH($A99,Confirmations!$A:$A,0)),"")</f>
        <v>Meridian Bank</v>
      </c>
      <c r="F99" s="14" t="n">
        <f aca="false">IFERROR(INDEX(Booking!$D:$D,MATCH($A99,Booking!$A:$A,0)),"")</f>
        <v>22000000</v>
      </c>
      <c r="G99" s="14" t="n">
        <f aca="false">IFERROR(INDEX(Confirmations!$D:$D,MATCH($A99,Confirmations!$A:$A,0)),"")</f>
        <v>22000000</v>
      </c>
      <c r="H99" s="15" t="n">
        <f aca="false">IFERROR(INDEX(Booking!$E:$E,MATCH($A99,Booking!$A:$A,0)),"")</f>
        <v>3.5162</v>
      </c>
      <c r="I99" s="15" t="n">
        <f aca="false">IFERROR(INDEX(Confirmations!$E:$E,MATCH($A99,Confirmations!$A:$A,0)),"")</f>
        <v>3.5162</v>
      </c>
      <c r="J99" s="3" t="n">
        <f aca="false">IFERROR(INDEX(Booking!$F:$F,MATCH($A99,Booking!$A:$A,0)),"")</f>
        <v>1</v>
      </c>
      <c r="K99" s="3" t="n">
        <f aca="false">IFERROR(INDEX(Confirmations!$F:$F,MATCH($A99,Confirmations!$A:$A,0)),"")</f>
        <v>1</v>
      </c>
      <c r="L99" s="3" t="str">
        <f aca="false">IF(NOT(C99),"Unconfirmed",IF(NOT(B99),"Unbooked",IF(D99&lt;&gt;E99,"Counterparty",IF(ABS(F99-G99)&gt;F99*Rules!$B$4/10000,"Notional",IF(H99&lt;&gt;I99,"Rate or price",IF(J99&lt;&gt;K99,"Value date","Matched"))))))</f>
        <v>Matched</v>
      </c>
      <c r="M99" s="3" t="n">
        <f aca="false">IF(B99,INDEX(Booking!$G:$G,MATCH(A99,Booking!$A:$A,0)),INDEX(Confirmations!$G:$G,MATCH(A99,Confirmations!$A:$A,0)))</f>
        <v>2</v>
      </c>
      <c r="N99" s="13" t="b">
        <f aca="false">AND(L99&lt;&gt;"Matched",M99&gt;Rules!$B$5)</f>
        <v>0</v>
      </c>
      <c r="O99" s="3" t="str">
        <f aca="false">INDEX(Rules!$B$8:$B$14,MATCH(L99,Rules!$A$8:$A$14,0))</f>
        <v>None</v>
      </c>
    </row>
    <row r="100" customFormat="false" ht="15" hidden="false" customHeight="false" outlineLevel="0" collapsed="false">
      <c r="A100" s="3" t="s">
        <v>142</v>
      </c>
      <c r="B100" s="13" t="b">
        <f aca="false">ISNUMBER(MATCH(A100,Booking!$A:$A,0))</f>
        <v>1</v>
      </c>
      <c r="C100" s="13" t="b">
        <f aca="false">ISNUMBER(MATCH(A100,Confirmations!$A:$A,0))</f>
        <v>1</v>
      </c>
      <c r="D100" s="3" t="str">
        <f aca="false">IFERROR(INDEX(Booking!$C:$C,MATCH($A100,Booking!$A:$A,0)),"")</f>
        <v>Tarn Energy Trading</v>
      </c>
      <c r="E100" s="3" t="str">
        <f aca="false">IFERROR(INDEX(Confirmations!$C:$C,MATCH($A100,Confirmations!$A:$A,0)),"")</f>
        <v>Tarn Energy Trading</v>
      </c>
      <c r="F100" s="14" t="n">
        <f aca="false">IFERROR(INDEX(Booking!$D:$D,MATCH($A100,Booking!$A:$A,0)),"")</f>
        <v>35000000</v>
      </c>
      <c r="G100" s="14" t="n">
        <f aca="false">IFERROR(INDEX(Confirmations!$D:$D,MATCH($A100,Confirmations!$A:$A,0)),"")</f>
        <v>35000000</v>
      </c>
      <c r="H100" s="15" t="n">
        <f aca="false">IFERROR(INDEX(Booking!$E:$E,MATCH($A100,Booking!$A:$A,0)),"")</f>
        <v>6.1592</v>
      </c>
      <c r="I100" s="15" t="n">
        <f aca="false">IFERROR(INDEX(Confirmations!$E:$E,MATCH($A100,Confirmations!$A:$A,0)),"")</f>
        <v>6.1592</v>
      </c>
      <c r="J100" s="3" t="n">
        <f aca="false">IFERROR(INDEX(Booking!$F:$F,MATCH($A100,Booking!$A:$A,0)),"")</f>
        <v>2</v>
      </c>
      <c r="K100" s="3" t="n">
        <f aca="false">IFERROR(INDEX(Confirmations!$F:$F,MATCH($A100,Confirmations!$A:$A,0)),"")</f>
        <v>2</v>
      </c>
      <c r="L100" s="3" t="str">
        <f aca="false">IF(NOT(C100),"Unconfirmed",IF(NOT(B100),"Unbooked",IF(D100&lt;&gt;E100,"Counterparty",IF(ABS(F100-G100)&gt;F100*Rules!$B$4/10000,"Notional",IF(H100&lt;&gt;I100,"Rate or price",IF(J100&lt;&gt;K100,"Value date","Matched"))))))</f>
        <v>Matched</v>
      </c>
      <c r="M100" s="3" t="n">
        <f aca="false">IF(B100,INDEX(Booking!$G:$G,MATCH(A100,Booking!$A:$A,0)),INDEX(Confirmations!$G:$G,MATCH(A100,Confirmations!$A:$A,0)))</f>
        <v>0</v>
      </c>
      <c r="N100" s="13" t="b">
        <f aca="false">AND(L100&lt;&gt;"Matched",M100&gt;Rules!$B$5)</f>
        <v>0</v>
      </c>
      <c r="O100" s="3" t="str">
        <f aca="false">INDEX(Rules!$B$8:$B$14,MATCH(L100,Rules!$A$8:$A$14,0))</f>
        <v>None</v>
      </c>
    </row>
    <row r="101" customFormat="false" ht="15" hidden="false" customHeight="false" outlineLevel="0" collapsed="false">
      <c r="A101" s="3" t="s">
        <v>143</v>
      </c>
      <c r="B101" s="13" t="b">
        <f aca="false">ISNUMBER(MATCH(A101,Booking!$A:$A,0))</f>
        <v>1</v>
      </c>
      <c r="C101" s="13" t="b">
        <f aca="false">ISNUMBER(MATCH(A101,Confirmations!$A:$A,0))</f>
        <v>1</v>
      </c>
      <c r="D101" s="3" t="str">
        <f aca="false">IFERROR(INDEX(Booking!$C:$C,MATCH($A101,Booking!$A:$A,0)),"")</f>
        <v>Meridian Bank</v>
      </c>
      <c r="E101" s="3" t="str">
        <f aca="false">IFERROR(INDEX(Confirmations!$C:$C,MATCH($A101,Confirmations!$A:$A,0)),"")</f>
        <v>Meridian Bank</v>
      </c>
      <c r="F101" s="14" t="n">
        <f aca="false">IFERROR(INDEX(Booking!$D:$D,MATCH($A101,Booking!$A:$A,0)),"")</f>
        <v>34000000</v>
      </c>
      <c r="G101" s="14" t="n">
        <f aca="false">IFERROR(INDEX(Confirmations!$D:$D,MATCH($A101,Confirmations!$A:$A,0)),"")</f>
        <v>34000000</v>
      </c>
      <c r="H101" s="15" t="n">
        <f aca="false">IFERROR(INDEX(Booking!$E:$E,MATCH($A101,Booking!$A:$A,0)),"")</f>
        <v>1.7065</v>
      </c>
      <c r="I101" s="15" t="n">
        <f aca="false">IFERROR(INDEX(Confirmations!$E:$E,MATCH($A101,Confirmations!$A:$A,0)),"")</f>
        <v>1.7065</v>
      </c>
      <c r="J101" s="3" t="n">
        <f aca="false">IFERROR(INDEX(Booking!$F:$F,MATCH($A101,Booking!$A:$A,0)),"")</f>
        <v>1</v>
      </c>
      <c r="K101" s="3" t="n">
        <f aca="false">IFERROR(INDEX(Confirmations!$F:$F,MATCH($A101,Confirmations!$A:$A,0)),"")</f>
        <v>1</v>
      </c>
      <c r="L101" s="3" t="str">
        <f aca="false">IF(NOT(C101),"Unconfirmed",IF(NOT(B101),"Unbooked",IF(D101&lt;&gt;E101,"Counterparty",IF(ABS(F101-G101)&gt;F101*Rules!$B$4/10000,"Notional",IF(H101&lt;&gt;I101,"Rate or price",IF(J101&lt;&gt;K101,"Value date","Matched"))))))</f>
        <v>Matched</v>
      </c>
      <c r="M101" s="3" t="n">
        <f aca="false">IF(B101,INDEX(Booking!$G:$G,MATCH(A101,Booking!$A:$A,0)),INDEX(Confirmations!$G:$G,MATCH(A101,Confirmations!$A:$A,0)))</f>
        <v>0</v>
      </c>
      <c r="N101" s="13" t="b">
        <f aca="false">AND(L101&lt;&gt;"Matched",M101&gt;Rules!$B$5)</f>
        <v>0</v>
      </c>
      <c r="O101" s="3" t="str">
        <f aca="false">INDEX(Rules!$B$8:$B$14,MATCH(L101,Rules!$A$8:$A$14,0))</f>
        <v>None</v>
      </c>
    </row>
    <row r="102" customFormat="false" ht="15" hidden="false" customHeight="false" outlineLevel="0" collapsed="false">
      <c r="A102" s="3" t="s">
        <v>144</v>
      </c>
      <c r="B102" s="13" t="b">
        <f aca="false">ISNUMBER(MATCH(A102,Booking!$A:$A,0))</f>
        <v>1</v>
      </c>
      <c r="C102" s="13" t="b">
        <f aca="false">ISNUMBER(MATCH(A102,Confirmations!$A:$A,0))</f>
        <v>1</v>
      </c>
      <c r="D102" s="3" t="str">
        <f aca="false">IFERROR(INDEX(Booking!$C:$C,MATCH($A102,Booking!$A:$A,0)),"")</f>
        <v>Kestrel Macro Fund</v>
      </c>
      <c r="E102" s="3" t="str">
        <f aca="false">IFERROR(INDEX(Confirmations!$C:$C,MATCH($A102,Confirmations!$A:$A,0)),"")</f>
        <v>Kestrel Macro Fund</v>
      </c>
      <c r="F102" s="14" t="n">
        <f aca="false">IFERROR(INDEX(Booking!$D:$D,MATCH($A102,Booking!$A:$A,0)),"")</f>
        <v>24000000</v>
      </c>
      <c r="G102" s="14" t="n">
        <f aca="false">IFERROR(INDEX(Confirmations!$D:$D,MATCH($A102,Confirmations!$A:$A,0)),"")</f>
        <v>24000000</v>
      </c>
      <c r="H102" s="15" t="n">
        <f aca="false">IFERROR(INDEX(Booking!$E:$E,MATCH($A102,Booking!$A:$A,0)),"")</f>
        <v>6.7666</v>
      </c>
      <c r="I102" s="15" t="n">
        <f aca="false">IFERROR(INDEX(Confirmations!$E:$E,MATCH($A102,Confirmations!$A:$A,0)),"")</f>
        <v>6.7666</v>
      </c>
      <c r="J102" s="3" t="n">
        <f aca="false">IFERROR(INDEX(Booking!$F:$F,MATCH($A102,Booking!$A:$A,0)),"")</f>
        <v>2</v>
      </c>
      <c r="K102" s="3" t="n">
        <f aca="false">IFERROR(INDEX(Confirmations!$F:$F,MATCH($A102,Confirmations!$A:$A,0)),"")</f>
        <v>2</v>
      </c>
      <c r="L102" s="3" t="str">
        <f aca="false">IF(NOT(C102),"Unconfirmed",IF(NOT(B102),"Unbooked",IF(D102&lt;&gt;E102,"Counterparty",IF(ABS(F102-G102)&gt;F102*Rules!$B$4/10000,"Notional",IF(H102&lt;&gt;I102,"Rate or price",IF(J102&lt;&gt;K102,"Value date","Matched"))))))</f>
        <v>Matched</v>
      </c>
      <c r="M102" s="3" t="n">
        <f aca="false">IF(B102,INDEX(Booking!$G:$G,MATCH(A102,Booking!$A:$A,0)),INDEX(Confirmations!$G:$G,MATCH(A102,Confirmations!$A:$A,0)))</f>
        <v>3</v>
      </c>
      <c r="N102" s="13" t="b">
        <f aca="false">AND(L102&lt;&gt;"Matched",M102&gt;Rules!$B$5)</f>
        <v>0</v>
      </c>
      <c r="O102" s="3" t="str">
        <f aca="false">INDEX(Rules!$B$8:$B$14,MATCH(L102,Rules!$A$8:$A$14,0))</f>
        <v>None</v>
      </c>
    </row>
    <row r="103" customFormat="false" ht="15" hidden="false" customHeight="false" outlineLevel="0" collapsed="false">
      <c r="A103" s="3" t="s">
        <v>145</v>
      </c>
      <c r="B103" s="13" t="b">
        <f aca="false">ISNUMBER(MATCH(A103,Booking!$A:$A,0))</f>
        <v>1</v>
      </c>
      <c r="C103" s="13" t="b">
        <f aca="false">ISNUMBER(MATCH(A103,Confirmations!$A:$A,0))</f>
        <v>1</v>
      </c>
      <c r="D103" s="3" t="str">
        <f aca="false">IFERROR(INDEX(Booking!$C:$C,MATCH($A103,Booking!$A:$A,0)),"")</f>
        <v>Aldridge Capital</v>
      </c>
      <c r="E103" s="3" t="str">
        <f aca="false">IFERROR(INDEX(Confirmations!$C:$C,MATCH($A103,Confirmations!$A:$A,0)),"")</f>
        <v>Aldridge Capital</v>
      </c>
      <c r="F103" s="14" t="n">
        <f aca="false">IFERROR(INDEX(Booking!$D:$D,MATCH($A103,Booking!$A:$A,0)),"")</f>
        <v>22000000</v>
      </c>
      <c r="G103" s="14" t="n">
        <f aca="false">IFERROR(INDEX(Confirmations!$D:$D,MATCH($A103,Confirmations!$A:$A,0)),"")</f>
        <v>22000000</v>
      </c>
      <c r="H103" s="15" t="n">
        <f aca="false">IFERROR(INDEX(Booking!$E:$E,MATCH($A103,Booking!$A:$A,0)),"")</f>
        <v>3.4281</v>
      </c>
      <c r="I103" s="15" t="n">
        <f aca="false">IFERROR(INDEX(Confirmations!$E:$E,MATCH($A103,Confirmations!$A:$A,0)),"")</f>
        <v>3.4281</v>
      </c>
      <c r="J103" s="3" t="n">
        <f aca="false">IFERROR(INDEX(Booking!$F:$F,MATCH($A103,Booking!$A:$A,0)),"")</f>
        <v>2</v>
      </c>
      <c r="K103" s="3" t="n">
        <f aca="false">IFERROR(INDEX(Confirmations!$F:$F,MATCH($A103,Confirmations!$A:$A,0)),"")</f>
        <v>2</v>
      </c>
      <c r="L103" s="3" t="str">
        <f aca="false">IF(NOT(C103),"Unconfirmed",IF(NOT(B103),"Unbooked",IF(D103&lt;&gt;E103,"Counterparty",IF(ABS(F103-G103)&gt;F103*Rules!$B$4/10000,"Notional",IF(H103&lt;&gt;I103,"Rate or price",IF(J103&lt;&gt;K103,"Value date","Matched"))))))</f>
        <v>Matched</v>
      </c>
      <c r="M103" s="3" t="n">
        <f aca="false">IF(B103,INDEX(Booking!$G:$G,MATCH(A103,Booking!$A:$A,0)),INDEX(Confirmations!$G:$G,MATCH(A103,Confirmations!$A:$A,0)))</f>
        <v>1</v>
      </c>
      <c r="N103" s="13" t="b">
        <f aca="false">AND(L103&lt;&gt;"Matched",M103&gt;Rules!$B$5)</f>
        <v>0</v>
      </c>
      <c r="O103" s="3" t="str">
        <f aca="false">INDEX(Rules!$B$8:$B$14,MATCH(L103,Rules!$A$8:$A$14,0))</f>
        <v>None</v>
      </c>
    </row>
    <row r="104" customFormat="false" ht="15" hidden="false" customHeight="false" outlineLevel="0" collapsed="false">
      <c r="A104" s="3" t="s">
        <v>146</v>
      </c>
      <c r="B104" s="13" t="b">
        <f aca="false">ISNUMBER(MATCH(A104,Booking!$A:$A,0))</f>
        <v>1</v>
      </c>
      <c r="C104" s="13" t="b">
        <f aca="false">ISNUMBER(MATCH(A104,Confirmations!$A:$A,0))</f>
        <v>1</v>
      </c>
      <c r="D104" s="3" t="str">
        <f aca="false">IFERROR(INDEX(Booking!$C:$C,MATCH($A104,Booking!$A:$A,0)),"")</f>
        <v>Meridian Bank</v>
      </c>
      <c r="E104" s="3" t="str">
        <f aca="false">IFERROR(INDEX(Confirmations!$C:$C,MATCH($A104,Confirmations!$A:$A,0)),"")</f>
        <v>Meridian Bank</v>
      </c>
      <c r="F104" s="14" t="n">
        <f aca="false">IFERROR(INDEX(Booking!$D:$D,MATCH($A104,Booking!$A:$A,0)),"")</f>
        <v>2000000</v>
      </c>
      <c r="G104" s="14" t="n">
        <f aca="false">IFERROR(INDEX(Confirmations!$D:$D,MATCH($A104,Confirmations!$A:$A,0)),"")</f>
        <v>2000000</v>
      </c>
      <c r="H104" s="15" t="n">
        <f aca="false">IFERROR(INDEX(Booking!$E:$E,MATCH($A104,Booking!$A:$A,0)),"")</f>
        <v>6.0222</v>
      </c>
      <c r="I104" s="15" t="n">
        <f aca="false">IFERROR(INDEX(Confirmations!$E:$E,MATCH($A104,Confirmations!$A:$A,0)),"")</f>
        <v>6.0222</v>
      </c>
      <c r="J104" s="3" t="n">
        <f aca="false">IFERROR(INDEX(Booking!$F:$F,MATCH($A104,Booking!$A:$A,0)),"")</f>
        <v>1</v>
      </c>
      <c r="K104" s="3" t="n">
        <f aca="false">IFERROR(INDEX(Confirmations!$F:$F,MATCH($A104,Confirmations!$A:$A,0)),"")</f>
        <v>1</v>
      </c>
      <c r="L104" s="3" t="str">
        <f aca="false">IF(NOT(C104),"Unconfirmed",IF(NOT(B104),"Unbooked",IF(D104&lt;&gt;E104,"Counterparty",IF(ABS(F104-G104)&gt;F104*Rules!$B$4/10000,"Notional",IF(H104&lt;&gt;I104,"Rate or price",IF(J104&lt;&gt;K104,"Value date","Matched"))))))</f>
        <v>Matched</v>
      </c>
      <c r="M104" s="3" t="n">
        <f aca="false">IF(B104,INDEX(Booking!$G:$G,MATCH(A104,Booking!$A:$A,0)),INDEX(Confirmations!$G:$G,MATCH(A104,Confirmations!$A:$A,0)))</f>
        <v>1</v>
      </c>
      <c r="N104" s="13" t="b">
        <f aca="false">AND(L104&lt;&gt;"Matched",M104&gt;Rules!$B$5)</f>
        <v>0</v>
      </c>
      <c r="O104" s="3" t="str">
        <f aca="false">INDEX(Rules!$B$8:$B$14,MATCH(L104,Rules!$A$8:$A$14,0))</f>
        <v>None</v>
      </c>
    </row>
    <row r="105" customFormat="false" ht="15" hidden="false" customHeight="false" outlineLevel="0" collapsed="false">
      <c r="A105" s="3" t="s">
        <v>147</v>
      </c>
      <c r="B105" s="13" t="b">
        <f aca="false">ISNUMBER(MATCH(A105,Booking!$A:$A,0))</f>
        <v>1</v>
      </c>
      <c r="C105" s="13" t="b">
        <f aca="false">ISNUMBER(MATCH(A105,Confirmations!$A:$A,0))</f>
        <v>1</v>
      </c>
      <c r="D105" s="3" t="str">
        <f aca="false">IFERROR(INDEX(Booking!$C:$C,MATCH($A105,Booking!$A:$A,0)),"")</f>
        <v>Tarn Energy Trading</v>
      </c>
      <c r="E105" s="3" t="str">
        <f aca="false">IFERROR(INDEX(Confirmations!$C:$C,MATCH($A105,Confirmations!$A:$A,0)),"")</f>
        <v>Tarn Energy Trading</v>
      </c>
      <c r="F105" s="14" t="n">
        <f aca="false">IFERROR(INDEX(Booking!$D:$D,MATCH($A105,Booking!$A:$A,0)),"")</f>
        <v>34000000</v>
      </c>
      <c r="G105" s="14" t="n">
        <f aca="false">IFERROR(INDEX(Confirmations!$D:$D,MATCH($A105,Confirmations!$A:$A,0)),"")</f>
        <v>34000000</v>
      </c>
      <c r="H105" s="15" t="n">
        <f aca="false">IFERROR(INDEX(Booking!$E:$E,MATCH($A105,Booking!$A:$A,0)),"")</f>
        <v>4.3543</v>
      </c>
      <c r="I105" s="15" t="n">
        <f aca="false">IFERROR(INDEX(Confirmations!$E:$E,MATCH($A105,Confirmations!$A:$A,0)),"")</f>
        <v>4.3543</v>
      </c>
      <c r="J105" s="3" t="n">
        <f aca="false">IFERROR(INDEX(Booking!$F:$F,MATCH($A105,Booking!$A:$A,0)),"")</f>
        <v>2</v>
      </c>
      <c r="K105" s="3" t="n">
        <f aca="false">IFERROR(INDEX(Confirmations!$F:$F,MATCH($A105,Confirmations!$A:$A,0)),"")</f>
        <v>2</v>
      </c>
      <c r="L105" s="3" t="str">
        <f aca="false">IF(NOT(C105),"Unconfirmed",IF(NOT(B105),"Unbooked",IF(D105&lt;&gt;E105,"Counterparty",IF(ABS(F105-G105)&gt;F105*Rules!$B$4/10000,"Notional",IF(H105&lt;&gt;I105,"Rate or price",IF(J105&lt;&gt;K105,"Value date","Matched"))))))</f>
        <v>Matched</v>
      </c>
      <c r="M105" s="3" t="n">
        <f aca="false">IF(B105,INDEX(Booking!$G:$G,MATCH(A105,Booking!$A:$A,0)),INDEX(Confirmations!$G:$G,MATCH(A105,Confirmations!$A:$A,0)))</f>
        <v>0</v>
      </c>
      <c r="N105" s="13" t="b">
        <f aca="false">AND(L105&lt;&gt;"Matched",M105&gt;Rules!$B$5)</f>
        <v>0</v>
      </c>
      <c r="O105" s="3" t="str">
        <f aca="false">INDEX(Rules!$B$8:$B$14,MATCH(L105,Rules!$A$8:$A$14,0))</f>
        <v>None</v>
      </c>
    </row>
    <row r="106" customFormat="false" ht="15" hidden="false" customHeight="false" outlineLevel="0" collapsed="false">
      <c r="A106" s="3" t="s">
        <v>148</v>
      </c>
      <c r="B106" s="13" t="b">
        <f aca="false">ISNUMBER(MATCH(A106,Booking!$A:$A,0))</f>
        <v>1</v>
      </c>
      <c r="C106" s="13" t="b">
        <f aca="false">ISNUMBER(MATCH(A106,Confirmations!$A:$A,0))</f>
        <v>1</v>
      </c>
      <c r="D106" s="3" t="str">
        <f aca="false">IFERROR(INDEX(Booking!$C:$C,MATCH($A106,Booking!$A:$A,0)),"")</f>
        <v>Tarn Energy Trading</v>
      </c>
      <c r="E106" s="3" t="str">
        <f aca="false">IFERROR(INDEX(Confirmations!$C:$C,MATCH($A106,Confirmations!$A:$A,0)),"")</f>
        <v>Tarn Energy Trading</v>
      </c>
      <c r="F106" s="14" t="n">
        <f aca="false">IFERROR(INDEX(Booking!$D:$D,MATCH($A106,Booking!$A:$A,0)),"")</f>
        <v>10000000</v>
      </c>
      <c r="G106" s="14" t="n">
        <f aca="false">IFERROR(INDEX(Confirmations!$D:$D,MATCH($A106,Confirmations!$A:$A,0)),"")</f>
        <v>10000000</v>
      </c>
      <c r="H106" s="15" t="n">
        <f aca="false">IFERROR(INDEX(Booking!$E:$E,MATCH($A106,Booking!$A:$A,0)),"")</f>
        <v>6.7799</v>
      </c>
      <c r="I106" s="15" t="n">
        <f aca="false">IFERROR(INDEX(Confirmations!$E:$E,MATCH($A106,Confirmations!$A:$A,0)),"")</f>
        <v>6.7799</v>
      </c>
      <c r="J106" s="3" t="n">
        <f aca="false">IFERROR(INDEX(Booking!$F:$F,MATCH($A106,Booking!$A:$A,0)),"")</f>
        <v>2</v>
      </c>
      <c r="K106" s="3" t="n">
        <f aca="false">IFERROR(INDEX(Confirmations!$F:$F,MATCH($A106,Confirmations!$A:$A,0)),"")</f>
        <v>2</v>
      </c>
      <c r="L106" s="3" t="str">
        <f aca="false">IF(NOT(C106),"Unconfirmed",IF(NOT(B106),"Unbooked",IF(D106&lt;&gt;E106,"Counterparty",IF(ABS(F106-G106)&gt;F106*Rules!$B$4/10000,"Notional",IF(H106&lt;&gt;I106,"Rate or price",IF(J106&lt;&gt;K106,"Value date","Matched"))))))</f>
        <v>Matched</v>
      </c>
      <c r="M106" s="3" t="n">
        <f aca="false">IF(B106,INDEX(Booking!$G:$G,MATCH(A106,Booking!$A:$A,0)),INDEX(Confirmations!$G:$G,MATCH(A106,Confirmations!$A:$A,0)))</f>
        <v>2</v>
      </c>
      <c r="N106" s="13" t="b">
        <f aca="false">AND(L106&lt;&gt;"Matched",M106&gt;Rules!$B$5)</f>
        <v>0</v>
      </c>
      <c r="O106" s="3" t="str">
        <f aca="false">INDEX(Rules!$B$8:$B$14,MATCH(L106,Rules!$A$8:$A$14,0))</f>
        <v>None</v>
      </c>
    </row>
    <row r="107" customFormat="false" ht="15" hidden="false" customHeight="false" outlineLevel="0" collapsed="false">
      <c r="A107" s="3" t="s">
        <v>149</v>
      </c>
      <c r="B107" s="13" t="b">
        <f aca="false">ISNUMBER(MATCH(A107,Booking!$A:$A,0))</f>
        <v>1</v>
      </c>
      <c r="C107" s="13" t="b">
        <f aca="false">ISNUMBER(MATCH(A107,Confirmations!$A:$A,0))</f>
        <v>1</v>
      </c>
      <c r="D107" s="3" t="str">
        <f aca="false">IFERROR(INDEX(Booking!$C:$C,MATCH($A107,Booking!$A:$A,0)),"")</f>
        <v>Tarn Energy Trading</v>
      </c>
      <c r="E107" s="3" t="str">
        <f aca="false">IFERROR(INDEX(Confirmations!$C:$C,MATCH($A107,Confirmations!$A:$A,0)),"")</f>
        <v>Tarn Energy Trading</v>
      </c>
      <c r="F107" s="14" t="n">
        <f aca="false">IFERROR(INDEX(Booking!$D:$D,MATCH($A107,Booking!$A:$A,0)),"")</f>
        <v>34000000</v>
      </c>
      <c r="G107" s="14" t="n">
        <f aca="false">IFERROR(INDEX(Confirmations!$D:$D,MATCH($A107,Confirmations!$A:$A,0)),"")</f>
        <v>34000000</v>
      </c>
      <c r="H107" s="15" t="n">
        <f aca="false">IFERROR(INDEX(Booking!$E:$E,MATCH($A107,Booking!$A:$A,0)),"")</f>
        <v>5.5561</v>
      </c>
      <c r="I107" s="15" t="n">
        <f aca="false">IFERROR(INDEX(Confirmations!$E:$E,MATCH($A107,Confirmations!$A:$A,0)),"")</f>
        <v>5.5561</v>
      </c>
      <c r="J107" s="3" t="n">
        <f aca="false">IFERROR(INDEX(Booking!$F:$F,MATCH($A107,Booking!$A:$A,0)),"")</f>
        <v>1</v>
      </c>
      <c r="K107" s="3" t="n">
        <f aca="false">IFERROR(INDEX(Confirmations!$F:$F,MATCH($A107,Confirmations!$A:$A,0)),"")</f>
        <v>1</v>
      </c>
      <c r="L107" s="3" t="str">
        <f aca="false">IF(NOT(C107),"Unconfirmed",IF(NOT(B107),"Unbooked",IF(D107&lt;&gt;E107,"Counterparty",IF(ABS(F107-G107)&gt;F107*Rules!$B$4/10000,"Notional",IF(H107&lt;&gt;I107,"Rate or price",IF(J107&lt;&gt;K107,"Value date","Matched"))))))</f>
        <v>Matched</v>
      </c>
      <c r="M107" s="3" t="n">
        <f aca="false">IF(B107,INDEX(Booking!$G:$G,MATCH(A107,Booking!$A:$A,0)),INDEX(Confirmations!$G:$G,MATCH(A107,Confirmations!$A:$A,0)))</f>
        <v>1</v>
      </c>
      <c r="N107" s="13" t="b">
        <f aca="false">AND(L107&lt;&gt;"Matched",M107&gt;Rules!$B$5)</f>
        <v>0</v>
      </c>
      <c r="O107" s="3" t="str">
        <f aca="false">INDEX(Rules!$B$8:$B$14,MATCH(L107,Rules!$A$8:$A$14,0))</f>
        <v>None</v>
      </c>
    </row>
    <row r="108" customFormat="false" ht="15" hidden="false" customHeight="false" outlineLevel="0" collapsed="false">
      <c r="A108" s="3" t="s">
        <v>150</v>
      </c>
      <c r="B108" s="13" t="b">
        <f aca="false">ISNUMBER(MATCH(A108,Booking!$A:$A,0))</f>
        <v>1</v>
      </c>
      <c r="C108" s="13" t="b">
        <f aca="false">ISNUMBER(MATCH(A108,Confirmations!$A:$A,0))</f>
        <v>1</v>
      </c>
      <c r="D108" s="3" t="str">
        <f aca="false">IFERROR(INDEX(Booking!$C:$C,MATCH($A108,Booking!$A:$A,0)),"")</f>
        <v>Harbour Insurance</v>
      </c>
      <c r="E108" s="3" t="str">
        <f aca="false">IFERROR(INDEX(Confirmations!$C:$C,MATCH($A108,Confirmations!$A:$A,0)),"")</f>
        <v>Harbour Insurance</v>
      </c>
      <c r="F108" s="14" t="n">
        <f aca="false">IFERROR(INDEX(Booking!$D:$D,MATCH($A108,Booking!$A:$A,0)),"")</f>
        <v>46000000</v>
      </c>
      <c r="G108" s="14" t="n">
        <f aca="false">IFERROR(INDEX(Confirmations!$D:$D,MATCH($A108,Confirmations!$A:$A,0)),"")</f>
        <v>46000000</v>
      </c>
      <c r="H108" s="15" t="n">
        <f aca="false">IFERROR(INDEX(Booking!$E:$E,MATCH($A108,Booking!$A:$A,0)),"")</f>
        <v>1.3293</v>
      </c>
      <c r="I108" s="15" t="n">
        <f aca="false">IFERROR(INDEX(Confirmations!$E:$E,MATCH($A108,Confirmations!$A:$A,0)),"")</f>
        <v>1.3293</v>
      </c>
      <c r="J108" s="3" t="n">
        <f aca="false">IFERROR(INDEX(Booking!$F:$F,MATCH($A108,Booking!$A:$A,0)),"")</f>
        <v>2</v>
      </c>
      <c r="K108" s="3" t="n">
        <f aca="false">IFERROR(INDEX(Confirmations!$F:$F,MATCH($A108,Confirmations!$A:$A,0)),"")</f>
        <v>2</v>
      </c>
      <c r="L108" s="3" t="str">
        <f aca="false">IF(NOT(C108),"Unconfirmed",IF(NOT(B108),"Unbooked",IF(D108&lt;&gt;E108,"Counterparty",IF(ABS(F108-G108)&gt;F108*Rules!$B$4/10000,"Notional",IF(H108&lt;&gt;I108,"Rate or price",IF(J108&lt;&gt;K108,"Value date","Matched"))))))</f>
        <v>Matched</v>
      </c>
      <c r="M108" s="3" t="n">
        <f aca="false">IF(B108,INDEX(Booking!$G:$G,MATCH(A108,Booking!$A:$A,0)),INDEX(Confirmations!$G:$G,MATCH(A108,Confirmations!$A:$A,0)))</f>
        <v>0</v>
      </c>
      <c r="N108" s="13" t="b">
        <f aca="false">AND(L108&lt;&gt;"Matched",M108&gt;Rules!$B$5)</f>
        <v>0</v>
      </c>
      <c r="O108" s="3" t="str">
        <f aca="false">INDEX(Rules!$B$8:$B$14,MATCH(L108,Rules!$A$8:$A$14,0))</f>
        <v>None</v>
      </c>
    </row>
    <row r="109" customFormat="false" ht="15" hidden="false" customHeight="false" outlineLevel="0" collapsed="false">
      <c r="A109" s="3" t="s">
        <v>151</v>
      </c>
      <c r="B109" s="13" t="b">
        <f aca="false">ISNUMBER(MATCH(A109,Booking!$A:$A,0))</f>
        <v>1</v>
      </c>
      <c r="C109" s="13" t="b">
        <f aca="false">ISNUMBER(MATCH(A109,Confirmations!$A:$A,0))</f>
        <v>0</v>
      </c>
      <c r="D109" s="3" t="str">
        <f aca="false">IFERROR(INDEX(Booking!$C:$C,MATCH($A109,Booking!$A:$A,0)),"")</f>
        <v>Aldridge Capital</v>
      </c>
      <c r="E109" s="3" t="str">
        <f aca="false">IFERROR(INDEX(Confirmations!$C:$C,MATCH($A109,Confirmations!$A:$A,0)),"")</f>
        <v/>
      </c>
      <c r="F109" s="14" t="n">
        <f aca="false">IFERROR(INDEX(Booking!$D:$D,MATCH($A109,Booking!$A:$A,0)),"")</f>
        <v>33000000</v>
      </c>
      <c r="G109" s="14" t="str">
        <f aca="false">IFERROR(INDEX(Confirmations!$D:$D,MATCH($A109,Confirmations!$A:$A,0)),"")</f>
        <v/>
      </c>
      <c r="H109" s="15" t="n">
        <f aca="false">IFERROR(INDEX(Booking!$E:$E,MATCH($A109,Booking!$A:$A,0)),"")</f>
        <v>5.4281</v>
      </c>
      <c r="I109" s="15" t="str">
        <f aca="false">IFERROR(INDEX(Confirmations!$E:$E,MATCH($A109,Confirmations!$A:$A,0)),"")</f>
        <v/>
      </c>
      <c r="J109" s="3" t="n">
        <f aca="false">IFERROR(INDEX(Booking!$F:$F,MATCH($A109,Booking!$A:$A,0)),"")</f>
        <v>2</v>
      </c>
      <c r="K109" s="3" t="str">
        <f aca="false">IFERROR(INDEX(Confirmations!$F:$F,MATCH($A109,Confirmations!$A:$A,0)),"")</f>
        <v/>
      </c>
      <c r="L109" s="3" t="str">
        <f aca="false">IF(NOT(C109),"Unconfirmed",IF(NOT(B109),"Unbooked",IF(D109&lt;&gt;E109,"Counterparty",IF(ABS(F109-G109)&gt;F109*Rules!$B$4/10000,"Notional",IF(H109&lt;&gt;I109,"Rate or price",IF(J109&lt;&gt;K109,"Value date","Matched"))))))</f>
        <v>Unconfirmed</v>
      </c>
      <c r="M109" s="3" t="n">
        <f aca="false">IF(B109,INDEX(Booking!$G:$G,MATCH(A109,Booking!$A:$A,0)),INDEX(Confirmations!$G:$G,MATCH(A109,Confirmations!$A:$A,0)))</f>
        <v>2</v>
      </c>
      <c r="N109" s="13" t="b">
        <f aca="false">AND(L109&lt;&gt;"Matched",M109&gt;Rules!$B$5)</f>
        <v>0</v>
      </c>
      <c r="O109" s="3" t="str">
        <f aca="false">INDEX(Rules!$B$8:$B$14,MATCH(L109,Rules!$A$8:$A$14,0))</f>
        <v>Confirmations team: chase counterparty</v>
      </c>
    </row>
    <row r="110" customFormat="false" ht="15" hidden="false" customHeight="false" outlineLevel="0" collapsed="false">
      <c r="A110" s="3" t="s">
        <v>152</v>
      </c>
      <c r="B110" s="13" t="b">
        <f aca="false">ISNUMBER(MATCH(A110,Booking!$A:$A,0))</f>
        <v>1</v>
      </c>
      <c r="C110" s="13" t="b">
        <f aca="false">ISNUMBER(MATCH(A110,Confirmations!$A:$A,0))</f>
        <v>1</v>
      </c>
      <c r="D110" s="3" t="str">
        <f aca="false">IFERROR(INDEX(Booking!$C:$C,MATCH($A110,Booking!$A:$A,0)),"")</f>
        <v>Solent Asset Management</v>
      </c>
      <c r="E110" s="3" t="str">
        <f aca="false">IFERROR(INDEX(Confirmations!$C:$C,MATCH($A110,Confirmations!$A:$A,0)),"")</f>
        <v>Solent Asset Management</v>
      </c>
      <c r="F110" s="14" t="n">
        <f aca="false">IFERROR(INDEX(Booking!$D:$D,MATCH($A110,Booking!$A:$A,0)),"")</f>
        <v>17000000</v>
      </c>
      <c r="G110" s="14" t="n">
        <f aca="false">IFERROR(INDEX(Confirmations!$D:$D,MATCH($A110,Confirmations!$A:$A,0)),"")</f>
        <v>17000000</v>
      </c>
      <c r="H110" s="15" t="n">
        <f aca="false">IFERROR(INDEX(Booking!$E:$E,MATCH($A110,Booking!$A:$A,0)),"")</f>
        <v>3.3246</v>
      </c>
      <c r="I110" s="15" t="n">
        <f aca="false">IFERROR(INDEX(Confirmations!$E:$E,MATCH($A110,Confirmations!$A:$A,0)),"")</f>
        <v>3.3246</v>
      </c>
      <c r="J110" s="3" t="n">
        <f aca="false">IFERROR(INDEX(Booking!$F:$F,MATCH($A110,Booking!$A:$A,0)),"")</f>
        <v>1</v>
      </c>
      <c r="K110" s="3" t="n">
        <f aca="false">IFERROR(INDEX(Confirmations!$F:$F,MATCH($A110,Confirmations!$A:$A,0)),"")</f>
        <v>1</v>
      </c>
      <c r="L110" s="3" t="str">
        <f aca="false">IF(NOT(C110),"Unconfirmed",IF(NOT(B110),"Unbooked",IF(D110&lt;&gt;E110,"Counterparty",IF(ABS(F110-G110)&gt;F110*Rules!$B$4/10000,"Notional",IF(H110&lt;&gt;I110,"Rate or price",IF(J110&lt;&gt;K110,"Value date","Matched"))))))</f>
        <v>Matched</v>
      </c>
      <c r="M110" s="3" t="n">
        <f aca="false">IF(B110,INDEX(Booking!$G:$G,MATCH(A110,Booking!$A:$A,0)),INDEX(Confirmations!$G:$G,MATCH(A110,Confirmations!$A:$A,0)))</f>
        <v>1</v>
      </c>
      <c r="N110" s="13" t="b">
        <f aca="false">AND(L110&lt;&gt;"Matched",M110&gt;Rules!$B$5)</f>
        <v>0</v>
      </c>
      <c r="O110" s="3" t="str">
        <f aca="false">INDEX(Rules!$B$8:$B$14,MATCH(L110,Rules!$A$8:$A$14,0))</f>
        <v>None</v>
      </c>
    </row>
    <row r="111" customFormat="false" ht="15" hidden="false" customHeight="false" outlineLevel="0" collapsed="false">
      <c r="A111" s="3" t="s">
        <v>153</v>
      </c>
      <c r="B111" s="13" t="b">
        <f aca="false">ISNUMBER(MATCH(A111,Booking!$A:$A,0))</f>
        <v>1</v>
      </c>
      <c r="C111" s="13" t="b">
        <f aca="false">ISNUMBER(MATCH(A111,Confirmations!$A:$A,0))</f>
        <v>1</v>
      </c>
      <c r="D111" s="3" t="str">
        <f aca="false">IFERROR(INDEX(Booking!$C:$C,MATCH($A111,Booking!$A:$A,0)),"")</f>
        <v>Vale Corporate Treasury</v>
      </c>
      <c r="E111" s="3" t="str">
        <f aca="false">IFERROR(INDEX(Confirmations!$C:$C,MATCH($A111,Confirmations!$A:$A,0)),"")</f>
        <v>Vale Corporate Treasury</v>
      </c>
      <c r="F111" s="14" t="n">
        <f aca="false">IFERROR(INDEX(Booking!$D:$D,MATCH($A111,Booking!$A:$A,0)),"")</f>
        <v>28000000</v>
      </c>
      <c r="G111" s="14" t="n">
        <f aca="false">IFERROR(INDEX(Confirmations!$D:$D,MATCH($A111,Confirmations!$A:$A,0)),"")</f>
        <v>28000000</v>
      </c>
      <c r="H111" s="15" t="n">
        <f aca="false">IFERROR(INDEX(Booking!$E:$E,MATCH($A111,Booking!$A:$A,0)),"")</f>
        <v>1.7643</v>
      </c>
      <c r="I111" s="15" t="n">
        <f aca="false">IFERROR(INDEX(Confirmations!$E:$E,MATCH($A111,Confirmations!$A:$A,0)),"")</f>
        <v>1.7643</v>
      </c>
      <c r="J111" s="3" t="n">
        <f aca="false">IFERROR(INDEX(Booking!$F:$F,MATCH($A111,Booking!$A:$A,0)),"")</f>
        <v>1</v>
      </c>
      <c r="K111" s="3" t="n">
        <f aca="false">IFERROR(INDEX(Confirmations!$F:$F,MATCH($A111,Confirmations!$A:$A,0)),"")</f>
        <v>1</v>
      </c>
      <c r="L111" s="3" t="str">
        <f aca="false">IF(NOT(C111),"Unconfirmed",IF(NOT(B111),"Unbooked",IF(D111&lt;&gt;E111,"Counterparty",IF(ABS(F111-G111)&gt;F111*Rules!$B$4/10000,"Notional",IF(H111&lt;&gt;I111,"Rate or price",IF(J111&lt;&gt;K111,"Value date","Matched"))))))</f>
        <v>Matched</v>
      </c>
      <c r="M111" s="3" t="n">
        <f aca="false">IF(B111,INDEX(Booking!$G:$G,MATCH(A111,Booking!$A:$A,0)),INDEX(Confirmations!$G:$G,MATCH(A111,Confirmations!$A:$A,0)))</f>
        <v>6</v>
      </c>
      <c r="N111" s="13" t="b">
        <f aca="false">AND(L111&lt;&gt;"Matched",M111&gt;Rules!$B$5)</f>
        <v>0</v>
      </c>
      <c r="O111" s="3" t="str">
        <f aca="false">INDEX(Rules!$B$8:$B$14,MATCH(L111,Rules!$A$8:$A$14,0))</f>
        <v>None</v>
      </c>
    </row>
    <row r="112" customFormat="false" ht="15" hidden="false" customHeight="false" outlineLevel="0" collapsed="false">
      <c r="A112" s="3" t="s">
        <v>154</v>
      </c>
      <c r="B112" s="13" t="b">
        <f aca="false">ISNUMBER(MATCH(A112,Booking!$A:$A,0))</f>
        <v>1</v>
      </c>
      <c r="C112" s="13" t="b">
        <f aca="false">ISNUMBER(MATCH(A112,Confirmations!$A:$A,0))</f>
        <v>1</v>
      </c>
      <c r="D112" s="3" t="str">
        <f aca="false">IFERROR(INDEX(Booking!$C:$C,MATCH($A112,Booking!$A:$A,0)),"")</f>
        <v>Meridian Bank</v>
      </c>
      <c r="E112" s="3" t="str">
        <f aca="false">IFERROR(INDEX(Confirmations!$C:$C,MATCH($A112,Confirmations!$A:$A,0)),"")</f>
        <v>Meridian Bank</v>
      </c>
      <c r="F112" s="14" t="n">
        <f aca="false">IFERROR(INDEX(Booking!$D:$D,MATCH($A112,Booking!$A:$A,0)),"")</f>
        <v>47000000</v>
      </c>
      <c r="G112" s="14" t="n">
        <f aca="false">IFERROR(INDEX(Confirmations!$D:$D,MATCH($A112,Confirmations!$A:$A,0)),"")</f>
        <v>47000000</v>
      </c>
      <c r="H112" s="15" t="n">
        <f aca="false">IFERROR(INDEX(Booking!$E:$E,MATCH($A112,Booking!$A:$A,0)),"")</f>
        <v>1.1511</v>
      </c>
      <c r="I112" s="15" t="n">
        <f aca="false">IFERROR(INDEX(Confirmations!$E:$E,MATCH($A112,Confirmations!$A:$A,0)),"")</f>
        <v>1.1511</v>
      </c>
      <c r="J112" s="3" t="n">
        <f aca="false">IFERROR(INDEX(Booking!$F:$F,MATCH($A112,Booking!$A:$A,0)),"")</f>
        <v>2</v>
      </c>
      <c r="K112" s="3" t="n">
        <f aca="false">IFERROR(INDEX(Confirmations!$F:$F,MATCH($A112,Confirmations!$A:$A,0)),"")</f>
        <v>2</v>
      </c>
      <c r="L112" s="3" t="str">
        <f aca="false">IF(NOT(C112),"Unconfirmed",IF(NOT(B112),"Unbooked",IF(D112&lt;&gt;E112,"Counterparty",IF(ABS(F112-G112)&gt;F112*Rules!$B$4/10000,"Notional",IF(H112&lt;&gt;I112,"Rate or price",IF(J112&lt;&gt;K112,"Value date","Matched"))))))</f>
        <v>Matched</v>
      </c>
      <c r="M112" s="3" t="n">
        <f aca="false">IF(B112,INDEX(Booking!$G:$G,MATCH(A112,Booking!$A:$A,0)),INDEX(Confirmations!$G:$G,MATCH(A112,Confirmations!$A:$A,0)))</f>
        <v>0</v>
      </c>
      <c r="N112" s="13" t="b">
        <f aca="false">AND(L112&lt;&gt;"Matched",M112&gt;Rules!$B$5)</f>
        <v>0</v>
      </c>
      <c r="O112" s="3" t="str">
        <f aca="false">INDEX(Rules!$B$8:$B$14,MATCH(L112,Rules!$A$8:$A$14,0))</f>
        <v>None</v>
      </c>
    </row>
    <row r="113" customFormat="false" ht="15" hidden="false" customHeight="false" outlineLevel="0" collapsed="false">
      <c r="A113" s="3" t="s">
        <v>155</v>
      </c>
      <c r="B113" s="13" t="b">
        <f aca="false">ISNUMBER(MATCH(A113,Booking!$A:$A,0))</f>
        <v>1</v>
      </c>
      <c r="C113" s="13" t="b">
        <f aca="false">ISNUMBER(MATCH(A113,Confirmations!$A:$A,0))</f>
        <v>1</v>
      </c>
      <c r="D113" s="3" t="str">
        <f aca="false">IFERROR(INDEX(Booking!$C:$C,MATCH($A113,Booking!$A:$A,0)),"")</f>
        <v>Tarn Energy Trading</v>
      </c>
      <c r="E113" s="3" t="str">
        <f aca="false">IFERROR(INDEX(Confirmations!$C:$C,MATCH($A113,Confirmations!$A:$A,0)),"")</f>
        <v>Tarn Energy Trading</v>
      </c>
      <c r="F113" s="14" t="n">
        <f aca="false">IFERROR(INDEX(Booking!$D:$D,MATCH($A113,Booking!$A:$A,0)),"")</f>
        <v>35000000</v>
      </c>
      <c r="G113" s="14" t="n">
        <f aca="false">IFERROR(INDEX(Confirmations!$D:$D,MATCH($A113,Confirmations!$A:$A,0)),"")</f>
        <v>35000000</v>
      </c>
      <c r="H113" s="15" t="n">
        <f aca="false">IFERROR(INDEX(Booking!$E:$E,MATCH($A113,Booking!$A:$A,0)),"")</f>
        <v>3.5831</v>
      </c>
      <c r="I113" s="15" t="n">
        <f aca="false">IFERROR(INDEX(Confirmations!$E:$E,MATCH($A113,Confirmations!$A:$A,0)),"")</f>
        <v>3.5831</v>
      </c>
      <c r="J113" s="3" t="n">
        <f aca="false">IFERROR(INDEX(Booking!$F:$F,MATCH($A113,Booking!$A:$A,0)),"")</f>
        <v>3</v>
      </c>
      <c r="K113" s="3" t="n">
        <f aca="false">IFERROR(INDEX(Confirmations!$F:$F,MATCH($A113,Confirmations!$A:$A,0)),"")</f>
        <v>3</v>
      </c>
      <c r="L113" s="3" t="str">
        <f aca="false">IF(NOT(C113),"Unconfirmed",IF(NOT(B113),"Unbooked",IF(D113&lt;&gt;E113,"Counterparty",IF(ABS(F113-G113)&gt;F113*Rules!$B$4/10000,"Notional",IF(H113&lt;&gt;I113,"Rate or price",IF(J113&lt;&gt;K113,"Value date","Matched"))))))</f>
        <v>Matched</v>
      </c>
      <c r="M113" s="3" t="n">
        <f aca="false">IF(B113,INDEX(Booking!$G:$G,MATCH(A113,Booking!$A:$A,0)),INDEX(Confirmations!$G:$G,MATCH(A113,Confirmations!$A:$A,0)))</f>
        <v>3</v>
      </c>
      <c r="N113" s="13" t="b">
        <f aca="false">AND(L113&lt;&gt;"Matched",M113&gt;Rules!$B$5)</f>
        <v>0</v>
      </c>
      <c r="O113" s="3" t="str">
        <f aca="false">INDEX(Rules!$B$8:$B$14,MATCH(L113,Rules!$A$8:$A$14,0))</f>
        <v>None</v>
      </c>
    </row>
    <row r="114" customFormat="false" ht="15" hidden="false" customHeight="false" outlineLevel="0" collapsed="false">
      <c r="A114" s="3" t="s">
        <v>156</v>
      </c>
      <c r="B114" s="13" t="b">
        <f aca="false">ISNUMBER(MATCH(A114,Booking!$A:$A,0))</f>
        <v>1</v>
      </c>
      <c r="C114" s="13" t="b">
        <f aca="false">ISNUMBER(MATCH(A114,Confirmations!$A:$A,0))</f>
        <v>1</v>
      </c>
      <c r="D114" s="3" t="str">
        <f aca="false">IFERROR(INDEX(Booking!$C:$C,MATCH($A114,Booking!$A:$A,0)),"")</f>
        <v>Harbour Insurance</v>
      </c>
      <c r="E114" s="3" t="str">
        <f aca="false">IFERROR(INDEX(Confirmations!$C:$C,MATCH($A114,Confirmations!$A:$A,0)),"")</f>
        <v>Harbour Insurance</v>
      </c>
      <c r="F114" s="14" t="n">
        <f aca="false">IFERROR(INDEX(Booking!$D:$D,MATCH($A114,Booking!$A:$A,0)),"")</f>
        <v>48000000</v>
      </c>
      <c r="G114" s="14" t="n">
        <f aca="false">IFERROR(INDEX(Confirmations!$D:$D,MATCH($A114,Confirmations!$A:$A,0)),"")</f>
        <v>48000000</v>
      </c>
      <c r="H114" s="15" t="n">
        <f aca="false">IFERROR(INDEX(Booking!$E:$E,MATCH($A114,Booking!$A:$A,0)),"")</f>
        <v>1.5982</v>
      </c>
      <c r="I114" s="15" t="n">
        <f aca="false">IFERROR(INDEX(Confirmations!$E:$E,MATCH($A114,Confirmations!$A:$A,0)),"")</f>
        <v>1.5982</v>
      </c>
      <c r="J114" s="3" t="n">
        <f aca="false">IFERROR(INDEX(Booking!$F:$F,MATCH($A114,Booking!$A:$A,0)),"")</f>
        <v>3</v>
      </c>
      <c r="K114" s="3" t="n">
        <f aca="false">IFERROR(INDEX(Confirmations!$F:$F,MATCH($A114,Confirmations!$A:$A,0)),"")</f>
        <v>3</v>
      </c>
      <c r="L114" s="3" t="str">
        <f aca="false">IF(NOT(C114),"Unconfirmed",IF(NOT(B114),"Unbooked",IF(D114&lt;&gt;E114,"Counterparty",IF(ABS(F114-G114)&gt;F114*Rules!$B$4/10000,"Notional",IF(H114&lt;&gt;I114,"Rate or price",IF(J114&lt;&gt;K114,"Value date","Matched"))))))</f>
        <v>Matched</v>
      </c>
      <c r="M114" s="3" t="n">
        <f aca="false">IF(B114,INDEX(Booking!$G:$G,MATCH(A114,Booking!$A:$A,0)),INDEX(Confirmations!$G:$G,MATCH(A114,Confirmations!$A:$A,0)))</f>
        <v>1</v>
      </c>
      <c r="N114" s="13" t="b">
        <f aca="false">AND(L114&lt;&gt;"Matched",M114&gt;Rules!$B$5)</f>
        <v>0</v>
      </c>
      <c r="O114" s="3" t="str">
        <f aca="false">INDEX(Rules!$B$8:$B$14,MATCH(L114,Rules!$A$8:$A$14,0))</f>
        <v>None</v>
      </c>
    </row>
    <row r="115" customFormat="false" ht="15" hidden="false" customHeight="false" outlineLevel="0" collapsed="false">
      <c r="A115" s="3" t="s">
        <v>157</v>
      </c>
      <c r="B115" s="13" t="b">
        <f aca="false">ISNUMBER(MATCH(A115,Booking!$A:$A,0))</f>
        <v>1</v>
      </c>
      <c r="C115" s="13" t="b">
        <f aca="false">ISNUMBER(MATCH(A115,Confirmations!$A:$A,0))</f>
        <v>1</v>
      </c>
      <c r="D115" s="3" t="str">
        <f aca="false">IFERROR(INDEX(Booking!$C:$C,MATCH($A115,Booking!$A:$A,0)),"")</f>
        <v>Solent Asset Management</v>
      </c>
      <c r="E115" s="3" t="str">
        <f aca="false">IFERROR(INDEX(Confirmations!$C:$C,MATCH($A115,Confirmations!$A:$A,0)),"")</f>
        <v>Solent Asset Management</v>
      </c>
      <c r="F115" s="14" t="n">
        <f aca="false">IFERROR(INDEX(Booking!$D:$D,MATCH($A115,Booking!$A:$A,0)),"")</f>
        <v>23000000</v>
      </c>
      <c r="G115" s="14" t="n">
        <f aca="false">IFERROR(INDEX(Confirmations!$D:$D,MATCH($A115,Confirmations!$A:$A,0)),"")</f>
        <v>23000000</v>
      </c>
      <c r="H115" s="15" t="n">
        <f aca="false">IFERROR(INDEX(Booking!$E:$E,MATCH($A115,Booking!$A:$A,0)),"")</f>
        <v>6.5277</v>
      </c>
      <c r="I115" s="15" t="n">
        <f aca="false">IFERROR(INDEX(Confirmations!$E:$E,MATCH($A115,Confirmations!$A:$A,0)),"")</f>
        <v>6.5277</v>
      </c>
      <c r="J115" s="3" t="n">
        <f aca="false">IFERROR(INDEX(Booking!$F:$F,MATCH($A115,Booking!$A:$A,0)),"")</f>
        <v>1</v>
      </c>
      <c r="K115" s="3" t="n">
        <f aca="false">IFERROR(INDEX(Confirmations!$F:$F,MATCH($A115,Confirmations!$A:$A,0)),"")</f>
        <v>1</v>
      </c>
      <c r="L115" s="3" t="str">
        <f aca="false">IF(NOT(C115),"Unconfirmed",IF(NOT(B115),"Unbooked",IF(D115&lt;&gt;E115,"Counterparty",IF(ABS(F115-G115)&gt;F115*Rules!$B$4/10000,"Notional",IF(H115&lt;&gt;I115,"Rate or price",IF(J115&lt;&gt;K115,"Value date","Matched"))))))</f>
        <v>Matched</v>
      </c>
      <c r="M115" s="3" t="n">
        <f aca="false">IF(B115,INDEX(Booking!$G:$G,MATCH(A115,Booking!$A:$A,0)),INDEX(Confirmations!$G:$G,MATCH(A115,Confirmations!$A:$A,0)))</f>
        <v>0</v>
      </c>
      <c r="N115" s="13" t="b">
        <f aca="false">AND(L115&lt;&gt;"Matched",M115&gt;Rules!$B$5)</f>
        <v>0</v>
      </c>
      <c r="O115" s="3" t="str">
        <f aca="false">INDEX(Rules!$B$8:$B$14,MATCH(L115,Rules!$A$8:$A$14,0))</f>
        <v>None</v>
      </c>
    </row>
    <row r="116" customFormat="false" ht="15" hidden="false" customHeight="false" outlineLevel="0" collapsed="false">
      <c r="A116" s="3" t="s">
        <v>158</v>
      </c>
      <c r="B116" s="13" t="b">
        <f aca="false">ISNUMBER(MATCH(A116,Booking!$A:$A,0))</f>
        <v>1</v>
      </c>
      <c r="C116" s="13" t="b">
        <f aca="false">ISNUMBER(MATCH(A116,Confirmations!$A:$A,0))</f>
        <v>1</v>
      </c>
      <c r="D116" s="3" t="str">
        <f aca="false">IFERROR(INDEX(Booking!$C:$C,MATCH($A116,Booking!$A:$A,0)),"")</f>
        <v>Tarn Energy Trading</v>
      </c>
      <c r="E116" s="3" t="str">
        <f aca="false">IFERROR(INDEX(Confirmations!$C:$C,MATCH($A116,Confirmations!$A:$A,0)),"")</f>
        <v>Tarn Energy Trading</v>
      </c>
      <c r="F116" s="14" t="n">
        <f aca="false">IFERROR(INDEX(Booking!$D:$D,MATCH($A116,Booking!$A:$A,0)),"")</f>
        <v>35000000</v>
      </c>
      <c r="G116" s="14" t="n">
        <f aca="false">IFERROR(INDEX(Confirmations!$D:$D,MATCH($A116,Confirmations!$A:$A,0)),"")</f>
        <v>35000000</v>
      </c>
      <c r="H116" s="15" t="n">
        <f aca="false">IFERROR(INDEX(Booking!$E:$E,MATCH($A116,Booking!$A:$A,0)),"")</f>
        <v>5.045</v>
      </c>
      <c r="I116" s="15" t="n">
        <f aca="false">IFERROR(INDEX(Confirmations!$E:$E,MATCH($A116,Confirmations!$A:$A,0)),"")</f>
        <v>5.045</v>
      </c>
      <c r="J116" s="3" t="n">
        <f aca="false">IFERROR(INDEX(Booking!$F:$F,MATCH($A116,Booking!$A:$A,0)),"")</f>
        <v>3</v>
      </c>
      <c r="K116" s="3" t="n">
        <f aca="false">IFERROR(INDEX(Confirmations!$F:$F,MATCH($A116,Confirmations!$A:$A,0)),"")</f>
        <v>3</v>
      </c>
      <c r="L116" s="3" t="str">
        <f aca="false">IF(NOT(C116),"Unconfirmed",IF(NOT(B116),"Unbooked",IF(D116&lt;&gt;E116,"Counterparty",IF(ABS(F116-G116)&gt;F116*Rules!$B$4/10000,"Notional",IF(H116&lt;&gt;I116,"Rate or price",IF(J116&lt;&gt;K116,"Value date","Matched"))))))</f>
        <v>Matched</v>
      </c>
      <c r="M116" s="3" t="n">
        <f aca="false">IF(B116,INDEX(Booking!$G:$G,MATCH(A116,Booking!$A:$A,0)),INDEX(Confirmations!$G:$G,MATCH(A116,Confirmations!$A:$A,0)))</f>
        <v>0</v>
      </c>
      <c r="N116" s="13" t="b">
        <f aca="false">AND(L116&lt;&gt;"Matched",M116&gt;Rules!$B$5)</f>
        <v>0</v>
      </c>
      <c r="O116" s="3" t="str">
        <f aca="false">INDEX(Rules!$B$8:$B$14,MATCH(L116,Rules!$A$8:$A$14,0))</f>
        <v>None</v>
      </c>
    </row>
    <row r="117" customFormat="false" ht="15" hidden="false" customHeight="false" outlineLevel="0" collapsed="false">
      <c r="A117" s="3" t="s">
        <v>159</v>
      </c>
      <c r="B117" s="13" t="b">
        <f aca="false">ISNUMBER(MATCH(A117,Booking!$A:$A,0))</f>
        <v>1</v>
      </c>
      <c r="C117" s="13" t="b">
        <f aca="false">ISNUMBER(MATCH(A117,Confirmations!$A:$A,0))</f>
        <v>1</v>
      </c>
      <c r="D117" s="3" t="str">
        <f aca="false">IFERROR(INDEX(Booking!$C:$C,MATCH($A117,Booking!$A:$A,0)),"")</f>
        <v>Meridian Bank</v>
      </c>
      <c r="E117" s="3" t="str">
        <f aca="false">IFERROR(INDEX(Confirmations!$C:$C,MATCH($A117,Confirmations!$A:$A,0)),"")</f>
        <v>Meridian Bank</v>
      </c>
      <c r="F117" s="14" t="n">
        <f aca="false">IFERROR(INDEX(Booking!$D:$D,MATCH($A117,Booking!$A:$A,0)),"")</f>
        <v>20000000</v>
      </c>
      <c r="G117" s="14" t="n">
        <f aca="false">IFERROR(INDEX(Confirmations!$D:$D,MATCH($A117,Confirmations!$A:$A,0)),"")</f>
        <v>20000000</v>
      </c>
      <c r="H117" s="15" t="n">
        <f aca="false">IFERROR(INDEX(Booking!$E:$E,MATCH($A117,Booking!$A:$A,0)),"")</f>
        <v>5.5175</v>
      </c>
      <c r="I117" s="15" t="n">
        <f aca="false">IFERROR(INDEX(Confirmations!$E:$E,MATCH($A117,Confirmations!$A:$A,0)),"")</f>
        <v>5.5175</v>
      </c>
      <c r="J117" s="3" t="n">
        <f aca="false">IFERROR(INDEX(Booking!$F:$F,MATCH($A117,Booking!$A:$A,0)),"")</f>
        <v>1</v>
      </c>
      <c r="K117" s="3" t="n">
        <f aca="false">IFERROR(INDEX(Confirmations!$F:$F,MATCH($A117,Confirmations!$A:$A,0)),"")</f>
        <v>1</v>
      </c>
      <c r="L117" s="3" t="str">
        <f aca="false">IF(NOT(C117),"Unconfirmed",IF(NOT(B117),"Unbooked",IF(D117&lt;&gt;E117,"Counterparty",IF(ABS(F117-G117)&gt;F117*Rules!$B$4/10000,"Notional",IF(H117&lt;&gt;I117,"Rate or price",IF(J117&lt;&gt;K117,"Value date","Matched"))))))</f>
        <v>Matched</v>
      </c>
      <c r="M117" s="3" t="n">
        <f aca="false">IF(B117,INDEX(Booking!$G:$G,MATCH(A117,Booking!$A:$A,0)),INDEX(Confirmations!$G:$G,MATCH(A117,Confirmations!$A:$A,0)))</f>
        <v>0</v>
      </c>
      <c r="N117" s="13" t="b">
        <f aca="false">AND(L117&lt;&gt;"Matched",M117&gt;Rules!$B$5)</f>
        <v>0</v>
      </c>
      <c r="O117" s="3" t="str">
        <f aca="false">INDEX(Rules!$B$8:$B$14,MATCH(L117,Rules!$A$8:$A$14,0))</f>
        <v>None</v>
      </c>
    </row>
    <row r="118" customFormat="false" ht="15" hidden="false" customHeight="false" outlineLevel="0" collapsed="false">
      <c r="A118" s="3" t="s">
        <v>160</v>
      </c>
      <c r="B118" s="13" t="b">
        <f aca="false">ISNUMBER(MATCH(A118,Booking!$A:$A,0))</f>
        <v>1</v>
      </c>
      <c r="C118" s="13" t="b">
        <f aca="false">ISNUMBER(MATCH(A118,Confirmations!$A:$A,0))</f>
        <v>1</v>
      </c>
      <c r="D118" s="3" t="str">
        <f aca="false">IFERROR(INDEX(Booking!$C:$C,MATCH($A118,Booking!$A:$A,0)),"")</f>
        <v>Kestrel Macro Fund</v>
      </c>
      <c r="E118" s="3" t="str">
        <f aca="false">IFERROR(INDEX(Confirmations!$C:$C,MATCH($A118,Confirmations!$A:$A,0)),"")</f>
        <v>Kestrel Macro Fund</v>
      </c>
      <c r="F118" s="14" t="n">
        <f aca="false">IFERROR(INDEX(Booking!$D:$D,MATCH($A118,Booking!$A:$A,0)),"")</f>
        <v>23000000</v>
      </c>
      <c r="G118" s="14" t="n">
        <f aca="false">IFERROR(INDEX(Confirmations!$D:$D,MATCH($A118,Confirmations!$A:$A,0)),"")</f>
        <v>23000000</v>
      </c>
      <c r="H118" s="15" t="n">
        <f aca="false">IFERROR(INDEX(Booking!$E:$E,MATCH($A118,Booking!$A:$A,0)),"")</f>
        <v>3.5652</v>
      </c>
      <c r="I118" s="15" t="n">
        <f aca="false">IFERROR(INDEX(Confirmations!$E:$E,MATCH($A118,Confirmations!$A:$A,0)),"")</f>
        <v>3.5652</v>
      </c>
      <c r="J118" s="3" t="n">
        <f aca="false">IFERROR(INDEX(Booking!$F:$F,MATCH($A118,Booking!$A:$A,0)),"")</f>
        <v>2</v>
      </c>
      <c r="K118" s="3" t="n">
        <f aca="false">IFERROR(INDEX(Confirmations!$F:$F,MATCH($A118,Confirmations!$A:$A,0)),"")</f>
        <v>2</v>
      </c>
      <c r="L118" s="3" t="str">
        <f aca="false">IF(NOT(C118),"Unconfirmed",IF(NOT(B118),"Unbooked",IF(D118&lt;&gt;E118,"Counterparty",IF(ABS(F118-G118)&gt;F118*Rules!$B$4/10000,"Notional",IF(H118&lt;&gt;I118,"Rate or price",IF(J118&lt;&gt;K118,"Value date","Matched"))))))</f>
        <v>Matched</v>
      </c>
      <c r="M118" s="3" t="n">
        <f aca="false">IF(B118,INDEX(Booking!$G:$G,MATCH(A118,Booking!$A:$A,0)),INDEX(Confirmations!$G:$G,MATCH(A118,Confirmations!$A:$A,0)))</f>
        <v>3</v>
      </c>
      <c r="N118" s="13" t="b">
        <f aca="false">AND(L118&lt;&gt;"Matched",M118&gt;Rules!$B$5)</f>
        <v>0</v>
      </c>
      <c r="O118" s="3" t="str">
        <f aca="false">INDEX(Rules!$B$8:$B$14,MATCH(L118,Rules!$A$8:$A$14,0))</f>
        <v>None</v>
      </c>
    </row>
    <row r="119" customFormat="false" ht="15" hidden="false" customHeight="false" outlineLevel="0" collapsed="false">
      <c r="A119" s="3" t="s">
        <v>161</v>
      </c>
      <c r="B119" s="13" t="b">
        <f aca="false">ISNUMBER(MATCH(A119,Booking!$A:$A,0))</f>
        <v>1</v>
      </c>
      <c r="C119" s="13" t="b">
        <f aca="false">ISNUMBER(MATCH(A119,Confirmations!$A:$A,0))</f>
        <v>1</v>
      </c>
      <c r="D119" s="3" t="str">
        <f aca="false">IFERROR(INDEX(Booking!$C:$C,MATCH($A119,Booking!$A:$A,0)),"")</f>
        <v>Vale Corporate Treasury</v>
      </c>
      <c r="E119" s="3" t="str">
        <f aca="false">IFERROR(INDEX(Confirmations!$C:$C,MATCH($A119,Confirmations!$A:$A,0)),"")</f>
        <v>Vale Corporate Treasury</v>
      </c>
      <c r="F119" s="14" t="n">
        <f aca="false">IFERROR(INDEX(Booking!$D:$D,MATCH($A119,Booking!$A:$A,0)),"")</f>
        <v>23000000</v>
      </c>
      <c r="G119" s="14" t="n">
        <f aca="false">IFERROR(INDEX(Confirmations!$D:$D,MATCH($A119,Confirmations!$A:$A,0)),"")</f>
        <v>23000000</v>
      </c>
      <c r="H119" s="15" t="n">
        <f aca="false">IFERROR(INDEX(Booking!$E:$E,MATCH($A119,Booking!$A:$A,0)),"")</f>
        <v>5.1405</v>
      </c>
      <c r="I119" s="15" t="n">
        <f aca="false">IFERROR(INDEX(Confirmations!$E:$E,MATCH($A119,Confirmations!$A:$A,0)),"")</f>
        <v>5.1405</v>
      </c>
      <c r="J119" s="3" t="n">
        <f aca="false">IFERROR(INDEX(Booking!$F:$F,MATCH($A119,Booking!$A:$A,0)),"")</f>
        <v>2</v>
      </c>
      <c r="K119" s="3" t="n">
        <f aca="false">IFERROR(INDEX(Confirmations!$F:$F,MATCH($A119,Confirmations!$A:$A,0)),"")</f>
        <v>2</v>
      </c>
      <c r="L119" s="3" t="str">
        <f aca="false">IF(NOT(C119),"Unconfirmed",IF(NOT(B119),"Unbooked",IF(D119&lt;&gt;E119,"Counterparty",IF(ABS(F119-G119)&gt;F119*Rules!$B$4/10000,"Notional",IF(H119&lt;&gt;I119,"Rate or price",IF(J119&lt;&gt;K119,"Value date","Matched"))))))</f>
        <v>Matched</v>
      </c>
      <c r="M119" s="3" t="n">
        <f aca="false">IF(B119,INDEX(Booking!$G:$G,MATCH(A119,Booking!$A:$A,0)),INDEX(Confirmations!$G:$G,MATCH(A119,Confirmations!$A:$A,0)))</f>
        <v>0</v>
      </c>
      <c r="N119" s="13" t="b">
        <f aca="false">AND(L119&lt;&gt;"Matched",M119&gt;Rules!$B$5)</f>
        <v>0</v>
      </c>
      <c r="O119" s="3" t="str">
        <f aca="false">INDEX(Rules!$B$8:$B$14,MATCH(L119,Rules!$A$8:$A$14,0))</f>
        <v>None</v>
      </c>
    </row>
    <row r="120" customFormat="false" ht="15" hidden="false" customHeight="false" outlineLevel="0" collapsed="false">
      <c r="A120" s="3" t="s">
        <v>162</v>
      </c>
      <c r="B120" s="13" t="b">
        <f aca="false">ISNUMBER(MATCH(A120,Booking!$A:$A,0))</f>
        <v>1</v>
      </c>
      <c r="C120" s="13" t="b">
        <f aca="false">ISNUMBER(MATCH(A120,Confirmations!$A:$A,0))</f>
        <v>1</v>
      </c>
      <c r="D120" s="3" t="str">
        <f aca="false">IFERROR(INDEX(Booking!$C:$C,MATCH($A120,Booking!$A:$A,0)),"")</f>
        <v>Kestrel Macro Fund</v>
      </c>
      <c r="E120" s="3" t="str">
        <f aca="false">IFERROR(INDEX(Confirmations!$C:$C,MATCH($A120,Confirmations!$A:$A,0)),"")</f>
        <v>Kestrel Macro Fund</v>
      </c>
      <c r="F120" s="14" t="n">
        <f aca="false">IFERROR(INDEX(Booking!$D:$D,MATCH($A120,Booking!$A:$A,0)),"")</f>
        <v>32000000</v>
      </c>
      <c r="G120" s="14" t="n">
        <f aca="false">IFERROR(INDEX(Confirmations!$D:$D,MATCH($A120,Confirmations!$A:$A,0)),"")</f>
        <v>32000000</v>
      </c>
      <c r="H120" s="15" t="n">
        <f aca="false">IFERROR(INDEX(Booking!$E:$E,MATCH($A120,Booking!$A:$A,0)),"")</f>
        <v>3.718</v>
      </c>
      <c r="I120" s="15" t="n">
        <f aca="false">IFERROR(INDEX(Confirmations!$E:$E,MATCH($A120,Confirmations!$A:$A,0)),"")</f>
        <v>3.718</v>
      </c>
      <c r="J120" s="3" t="n">
        <f aca="false">IFERROR(INDEX(Booking!$F:$F,MATCH($A120,Booking!$A:$A,0)),"")</f>
        <v>2</v>
      </c>
      <c r="K120" s="3" t="n">
        <f aca="false">IFERROR(INDEX(Confirmations!$F:$F,MATCH($A120,Confirmations!$A:$A,0)),"")</f>
        <v>2</v>
      </c>
      <c r="L120" s="3" t="str">
        <f aca="false">IF(NOT(C120),"Unconfirmed",IF(NOT(B120),"Unbooked",IF(D120&lt;&gt;E120,"Counterparty",IF(ABS(F120-G120)&gt;F120*Rules!$B$4/10000,"Notional",IF(H120&lt;&gt;I120,"Rate or price",IF(J120&lt;&gt;K120,"Value date","Matched"))))))</f>
        <v>Matched</v>
      </c>
      <c r="M120" s="3" t="n">
        <f aca="false">IF(B120,INDEX(Booking!$G:$G,MATCH(A120,Booking!$A:$A,0)),INDEX(Confirmations!$G:$G,MATCH(A120,Confirmations!$A:$A,0)))</f>
        <v>1</v>
      </c>
      <c r="N120" s="13" t="b">
        <f aca="false">AND(L120&lt;&gt;"Matched",M120&gt;Rules!$B$5)</f>
        <v>0</v>
      </c>
      <c r="O120" s="3" t="str">
        <f aca="false">INDEX(Rules!$B$8:$B$14,MATCH(L120,Rules!$A$8:$A$14,0))</f>
        <v>None</v>
      </c>
    </row>
    <row r="121" customFormat="false" ht="15" hidden="false" customHeight="false" outlineLevel="0" collapsed="false">
      <c r="A121" s="3" t="s">
        <v>163</v>
      </c>
      <c r="B121" s="13" t="b">
        <f aca="false">ISNUMBER(MATCH(A121,Booking!$A:$A,0))</f>
        <v>1</v>
      </c>
      <c r="C121" s="13" t="b">
        <f aca="false">ISNUMBER(MATCH(A121,Confirmations!$A:$A,0))</f>
        <v>1</v>
      </c>
      <c r="D121" s="3" t="str">
        <f aca="false">IFERROR(INDEX(Booking!$C:$C,MATCH($A121,Booking!$A:$A,0)),"")</f>
        <v>Northbay Pension Fund</v>
      </c>
      <c r="E121" s="3" t="str">
        <f aca="false">IFERROR(INDEX(Confirmations!$C:$C,MATCH($A121,Confirmations!$A:$A,0)),"")</f>
        <v>Northbay Pension Fund</v>
      </c>
      <c r="F121" s="14" t="n">
        <f aca="false">IFERROR(INDEX(Booking!$D:$D,MATCH($A121,Booking!$A:$A,0)),"")</f>
        <v>4000000</v>
      </c>
      <c r="G121" s="14" t="n">
        <f aca="false">IFERROR(INDEX(Confirmations!$D:$D,MATCH($A121,Confirmations!$A:$A,0)),"")</f>
        <v>4000000</v>
      </c>
      <c r="H121" s="15" t="n">
        <f aca="false">IFERROR(INDEX(Booking!$E:$E,MATCH($A121,Booking!$A:$A,0)),"")</f>
        <v>6.3806</v>
      </c>
      <c r="I121" s="15" t="n">
        <f aca="false">IFERROR(INDEX(Confirmations!$E:$E,MATCH($A121,Confirmations!$A:$A,0)),"")</f>
        <v>6.3806</v>
      </c>
      <c r="J121" s="3" t="n">
        <f aca="false">IFERROR(INDEX(Booking!$F:$F,MATCH($A121,Booking!$A:$A,0)),"")</f>
        <v>1</v>
      </c>
      <c r="K121" s="3" t="n">
        <f aca="false">IFERROR(INDEX(Confirmations!$F:$F,MATCH($A121,Confirmations!$A:$A,0)),"")</f>
        <v>1</v>
      </c>
      <c r="L121" s="3" t="str">
        <f aca="false">IF(NOT(C121),"Unconfirmed",IF(NOT(B121),"Unbooked",IF(D121&lt;&gt;E121,"Counterparty",IF(ABS(F121-G121)&gt;F121*Rules!$B$4/10000,"Notional",IF(H121&lt;&gt;I121,"Rate or price",IF(J121&lt;&gt;K121,"Value date","Matched"))))))</f>
        <v>Matched</v>
      </c>
      <c r="M121" s="3" t="n">
        <f aca="false">IF(B121,INDEX(Booking!$G:$G,MATCH(A121,Booking!$A:$A,0)),INDEX(Confirmations!$G:$G,MATCH(A121,Confirmations!$A:$A,0)))</f>
        <v>0</v>
      </c>
      <c r="N121" s="13" t="b">
        <f aca="false">AND(L121&lt;&gt;"Matched",M121&gt;Rules!$B$5)</f>
        <v>0</v>
      </c>
      <c r="O121" s="3" t="str">
        <f aca="false">INDEX(Rules!$B$8:$B$14,MATCH(L121,Rules!$A$8:$A$14,0))</f>
        <v>None</v>
      </c>
    </row>
    <row r="122" customFormat="false" ht="15" hidden="false" customHeight="false" outlineLevel="0" collapsed="false">
      <c r="A122" s="3" t="s">
        <v>164</v>
      </c>
      <c r="B122" s="13" t="b">
        <f aca="false">ISNUMBER(MATCH(A122,Booking!$A:$A,0))</f>
        <v>1</v>
      </c>
      <c r="C122" s="13" t="b">
        <f aca="false">ISNUMBER(MATCH(A122,Confirmations!$A:$A,0))</f>
        <v>1</v>
      </c>
      <c r="D122" s="3" t="str">
        <f aca="false">IFERROR(INDEX(Booking!$C:$C,MATCH($A122,Booking!$A:$A,0)),"")</f>
        <v>Aldridge Capital</v>
      </c>
      <c r="E122" s="3" t="str">
        <f aca="false">IFERROR(INDEX(Confirmations!$C:$C,MATCH($A122,Confirmations!$A:$A,0)),"")</f>
        <v>Aldridge Capital</v>
      </c>
      <c r="F122" s="14" t="n">
        <f aca="false">IFERROR(INDEX(Booking!$D:$D,MATCH($A122,Booking!$A:$A,0)),"")</f>
        <v>33000000</v>
      </c>
      <c r="G122" s="14" t="n">
        <f aca="false">IFERROR(INDEX(Confirmations!$D:$D,MATCH($A122,Confirmations!$A:$A,0)),"")</f>
        <v>33000000</v>
      </c>
      <c r="H122" s="15" t="n">
        <f aca="false">IFERROR(INDEX(Booking!$E:$E,MATCH($A122,Booking!$A:$A,0)),"")</f>
        <v>1.2955</v>
      </c>
      <c r="I122" s="15" t="n">
        <f aca="false">IFERROR(INDEX(Confirmations!$E:$E,MATCH($A122,Confirmations!$A:$A,0)),"")</f>
        <v>1.2955</v>
      </c>
      <c r="J122" s="3" t="n">
        <f aca="false">IFERROR(INDEX(Booking!$F:$F,MATCH($A122,Booking!$A:$A,0)),"")</f>
        <v>3</v>
      </c>
      <c r="K122" s="3" t="n">
        <f aca="false">IFERROR(INDEX(Confirmations!$F:$F,MATCH($A122,Confirmations!$A:$A,0)),"")</f>
        <v>3</v>
      </c>
      <c r="L122" s="3" t="str">
        <f aca="false">IF(NOT(C122),"Unconfirmed",IF(NOT(B122),"Unbooked",IF(D122&lt;&gt;E122,"Counterparty",IF(ABS(F122-G122)&gt;F122*Rules!$B$4/10000,"Notional",IF(H122&lt;&gt;I122,"Rate or price",IF(J122&lt;&gt;K122,"Value date","Matched"))))))</f>
        <v>Matched</v>
      </c>
      <c r="M122" s="3" t="n">
        <f aca="false">IF(B122,INDEX(Booking!$G:$G,MATCH(A122,Booking!$A:$A,0)),INDEX(Confirmations!$G:$G,MATCH(A122,Confirmations!$A:$A,0)))</f>
        <v>4</v>
      </c>
      <c r="N122" s="13" t="b">
        <f aca="false">AND(L122&lt;&gt;"Matched",M122&gt;Rules!$B$5)</f>
        <v>0</v>
      </c>
      <c r="O122" s="3" t="str">
        <f aca="false">INDEX(Rules!$B$8:$B$14,MATCH(L122,Rules!$A$8:$A$14,0))</f>
        <v>None</v>
      </c>
    </row>
    <row r="123" customFormat="false" ht="15" hidden="false" customHeight="false" outlineLevel="0" collapsed="false">
      <c r="A123" s="3" t="s">
        <v>165</v>
      </c>
      <c r="B123" s="13" t="b">
        <f aca="false">ISNUMBER(MATCH(A123,Booking!$A:$A,0))</f>
        <v>1</v>
      </c>
      <c r="C123" s="13" t="b">
        <f aca="false">ISNUMBER(MATCH(A123,Confirmations!$A:$A,0))</f>
        <v>1</v>
      </c>
      <c r="D123" s="3" t="str">
        <f aca="false">IFERROR(INDEX(Booking!$C:$C,MATCH($A123,Booking!$A:$A,0)),"")</f>
        <v>Northbay Pension Fund</v>
      </c>
      <c r="E123" s="3" t="str">
        <f aca="false">IFERROR(INDEX(Confirmations!$C:$C,MATCH($A123,Confirmations!$A:$A,0)),"")</f>
        <v>Northbay Pension Fund</v>
      </c>
      <c r="F123" s="14" t="n">
        <f aca="false">IFERROR(INDEX(Booking!$D:$D,MATCH($A123,Booking!$A:$A,0)),"")</f>
        <v>2000000</v>
      </c>
      <c r="G123" s="14" t="n">
        <f aca="false">IFERROR(INDEX(Confirmations!$D:$D,MATCH($A123,Confirmations!$A:$A,0)),"")</f>
        <v>2000000</v>
      </c>
      <c r="H123" s="15" t="n">
        <f aca="false">IFERROR(INDEX(Booking!$E:$E,MATCH($A123,Booking!$A:$A,0)),"")</f>
        <v>5.9379</v>
      </c>
      <c r="I123" s="15" t="n">
        <f aca="false">IFERROR(INDEX(Confirmations!$E:$E,MATCH($A123,Confirmations!$A:$A,0)),"")</f>
        <v>5.9379</v>
      </c>
      <c r="J123" s="3" t="n">
        <f aca="false">IFERROR(INDEX(Booking!$F:$F,MATCH($A123,Booking!$A:$A,0)),"")</f>
        <v>1</v>
      </c>
      <c r="K123" s="3" t="n">
        <f aca="false">IFERROR(INDEX(Confirmations!$F:$F,MATCH($A123,Confirmations!$A:$A,0)),"")</f>
        <v>1</v>
      </c>
      <c r="L123" s="3" t="str">
        <f aca="false">IF(NOT(C123),"Unconfirmed",IF(NOT(B123),"Unbooked",IF(D123&lt;&gt;E123,"Counterparty",IF(ABS(F123-G123)&gt;F123*Rules!$B$4/10000,"Notional",IF(H123&lt;&gt;I123,"Rate or price",IF(J123&lt;&gt;K123,"Value date","Matched"))))))</f>
        <v>Matched</v>
      </c>
      <c r="M123" s="3" t="n">
        <f aca="false">IF(B123,INDEX(Booking!$G:$G,MATCH(A123,Booking!$A:$A,0)),INDEX(Confirmations!$G:$G,MATCH(A123,Confirmations!$A:$A,0)))</f>
        <v>1</v>
      </c>
      <c r="N123" s="13" t="b">
        <f aca="false">AND(L123&lt;&gt;"Matched",M123&gt;Rules!$B$5)</f>
        <v>0</v>
      </c>
      <c r="O123" s="3" t="str">
        <f aca="false">INDEX(Rules!$B$8:$B$14,MATCH(L123,Rules!$A$8:$A$14,0))</f>
        <v>None</v>
      </c>
    </row>
    <row r="124" customFormat="false" ht="15" hidden="false" customHeight="false" outlineLevel="0" collapsed="false">
      <c r="A124" s="3" t="s">
        <v>166</v>
      </c>
      <c r="B124" s="13" t="b">
        <f aca="false">ISNUMBER(MATCH(A124,Booking!$A:$A,0))</f>
        <v>1</v>
      </c>
      <c r="C124" s="13" t="b">
        <f aca="false">ISNUMBER(MATCH(A124,Confirmations!$A:$A,0))</f>
        <v>1</v>
      </c>
      <c r="D124" s="3" t="str">
        <f aca="false">IFERROR(INDEX(Booking!$C:$C,MATCH($A124,Booking!$A:$A,0)),"")</f>
        <v>Aldridge Capital</v>
      </c>
      <c r="E124" s="3" t="str">
        <f aca="false">IFERROR(INDEX(Confirmations!$C:$C,MATCH($A124,Confirmations!$A:$A,0)),"")</f>
        <v>Aldridge Capital</v>
      </c>
      <c r="F124" s="14" t="n">
        <f aca="false">IFERROR(INDEX(Booking!$D:$D,MATCH($A124,Booking!$A:$A,0)),"")</f>
        <v>29000000</v>
      </c>
      <c r="G124" s="14" t="n">
        <f aca="false">IFERROR(INDEX(Confirmations!$D:$D,MATCH($A124,Confirmations!$A:$A,0)),"")</f>
        <v>29000000</v>
      </c>
      <c r="H124" s="15" t="n">
        <f aca="false">IFERROR(INDEX(Booking!$E:$E,MATCH($A124,Booking!$A:$A,0)),"")</f>
        <v>5.7857</v>
      </c>
      <c r="I124" s="15" t="n">
        <f aca="false">IFERROR(INDEX(Confirmations!$E:$E,MATCH($A124,Confirmations!$A:$A,0)),"")</f>
        <v>5.7857</v>
      </c>
      <c r="J124" s="3" t="n">
        <f aca="false">IFERROR(INDEX(Booking!$F:$F,MATCH($A124,Booking!$A:$A,0)),"")</f>
        <v>1</v>
      </c>
      <c r="K124" s="3" t="n">
        <f aca="false">IFERROR(INDEX(Confirmations!$F:$F,MATCH($A124,Confirmations!$A:$A,0)),"")</f>
        <v>1</v>
      </c>
      <c r="L124" s="3" t="str">
        <f aca="false">IF(NOT(C124),"Unconfirmed",IF(NOT(B124),"Unbooked",IF(D124&lt;&gt;E124,"Counterparty",IF(ABS(F124-G124)&gt;F124*Rules!$B$4/10000,"Notional",IF(H124&lt;&gt;I124,"Rate or price",IF(J124&lt;&gt;K124,"Value date","Matched"))))))</f>
        <v>Matched</v>
      </c>
      <c r="M124" s="3" t="n">
        <f aca="false">IF(B124,INDEX(Booking!$G:$G,MATCH(A124,Booking!$A:$A,0)),INDEX(Confirmations!$G:$G,MATCH(A124,Confirmations!$A:$A,0)))</f>
        <v>1</v>
      </c>
      <c r="N124" s="13" t="b">
        <f aca="false">AND(L124&lt;&gt;"Matched",M124&gt;Rules!$B$5)</f>
        <v>0</v>
      </c>
      <c r="O124" s="3" t="str">
        <f aca="false">INDEX(Rules!$B$8:$B$14,MATCH(L124,Rules!$A$8:$A$14,0))</f>
        <v>None</v>
      </c>
    </row>
    <row r="125" customFormat="false" ht="15" hidden="false" customHeight="false" outlineLevel="0" collapsed="false">
      <c r="A125" s="3" t="s">
        <v>167</v>
      </c>
      <c r="B125" s="13" t="b">
        <f aca="false">ISNUMBER(MATCH(A125,Booking!$A:$A,0))</f>
        <v>1</v>
      </c>
      <c r="C125" s="13" t="b">
        <f aca="false">ISNUMBER(MATCH(A125,Confirmations!$A:$A,0))</f>
        <v>1</v>
      </c>
      <c r="D125" s="3" t="str">
        <f aca="false">IFERROR(INDEX(Booking!$C:$C,MATCH($A125,Booking!$A:$A,0)),"")</f>
        <v>Aldridge Capital</v>
      </c>
      <c r="E125" s="3" t="str">
        <f aca="false">IFERROR(INDEX(Confirmations!$C:$C,MATCH($A125,Confirmations!$A:$A,0)),"")</f>
        <v>Aldridge Capital</v>
      </c>
      <c r="F125" s="14" t="n">
        <f aca="false">IFERROR(INDEX(Booking!$D:$D,MATCH($A125,Booking!$A:$A,0)),"")</f>
        <v>8000000</v>
      </c>
      <c r="G125" s="14" t="n">
        <f aca="false">IFERROR(INDEX(Confirmations!$D:$D,MATCH($A125,Confirmations!$A:$A,0)),"")</f>
        <v>8000000</v>
      </c>
      <c r="H125" s="15" t="n">
        <f aca="false">IFERROR(INDEX(Booking!$E:$E,MATCH($A125,Booking!$A:$A,0)),"")</f>
        <v>1.2436</v>
      </c>
      <c r="I125" s="15" t="n">
        <f aca="false">IFERROR(INDEX(Confirmations!$E:$E,MATCH($A125,Confirmations!$A:$A,0)),"")</f>
        <v>1.2436</v>
      </c>
      <c r="J125" s="3" t="n">
        <f aca="false">IFERROR(INDEX(Booking!$F:$F,MATCH($A125,Booking!$A:$A,0)),"")</f>
        <v>1</v>
      </c>
      <c r="K125" s="3" t="n">
        <f aca="false">IFERROR(INDEX(Confirmations!$F:$F,MATCH($A125,Confirmations!$A:$A,0)),"")</f>
        <v>1</v>
      </c>
      <c r="L125" s="3" t="str">
        <f aca="false">IF(NOT(C125),"Unconfirmed",IF(NOT(B125),"Unbooked",IF(D125&lt;&gt;E125,"Counterparty",IF(ABS(F125-G125)&gt;F125*Rules!$B$4/10000,"Notional",IF(H125&lt;&gt;I125,"Rate or price",IF(J125&lt;&gt;K125,"Value date","Matched"))))))</f>
        <v>Matched</v>
      </c>
      <c r="M125" s="3" t="n">
        <f aca="false">IF(B125,INDEX(Booking!$G:$G,MATCH(A125,Booking!$A:$A,0)),INDEX(Confirmations!$G:$G,MATCH(A125,Confirmations!$A:$A,0)))</f>
        <v>3</v>
      </c>
      <c r="N125" s="13" t="b">
        <f aca="false">AND(L125&lt;&gt;"Matched",M125&gt;Rules!$B$5)</f>
        <v>0</v>
      </c>
      <c r="O125" s="3" t="str">
        <f aca="false">INDEX(Rules!$B$8:$B$14,MATCH(L125,Rules!$A$8:$A$14,0))</f>
        <v>None</v>
      </c>
    </row>
    <row r="126" customFormat="false" ht="15" hidden="false" customHeight="false" outlineLevel="0" collapsed="false">
      <c r="A126" s="3" t="s">
        <v>168</v>
      </c>
      <c r="B126" s="13" t="b">
        <f aca="false">ISNUMBER(MATCH(A126,Booking!$A:$A,0))</f>
        <v>1</v>
      </c>
      <c r="C126" s="13" t="b">
        <f aca="false">ISNUMBER(MATCH(A126,Confirmations!$A:$A,0))</f>
        <v>1</v>
      </c>
      <c r="D126" s="3" t="str">
        <f aca="false">IFERROR(INDEX(Booking!$C:$C,MATCH($A126,Booking!$A:$A,0)),"")</f>
        <v>Meridian Bank</v>
      </c>
      <c r="E126" s="3" t="str">
        <f aca="false">IFERROR(INDEX(Confirmations!$C:$C,MATCH($A126,Confirmations!$A:$A,0)),"")</f>
        <v>Meridian Bank</v>
      </c>
      <c r="F126" s="14" t="n">
        <f aca="false">IFERROR(INDEX(Booking!$D:$D,MATCH($A126,Booking!$A:$A,0)),"")</f>
        <v>44000000</v>
      </c>
      <c r="G126" s="14" t="n">
        <f aca="false">IFERROR(INDEX(Confirmations!$D:$D,MATCH($A126,Confirmations!$A:$A,0)),"")</f>
        <v>44000000</v>
      </c>
      <c r="H126" s="15" t="n">
        <f aca="false">IFERROR(INDEX(Booking!$E:$E,MATCH($A126,Booking!$A:$A,0)),"")</f>
        <v>3.2261</v>
      </c>
      <c r="I126" s="15" t="n">
        <f aca="false">IFERROR(INDEX(Confirmations!$E:$E,MATCH($A126,Confirmations!$A:$A,0)),"")</f>
        <v>3.2261</v>
      </c>
      <c r="J126" s="3" t="n">
        <f aca="false">IFERROR(INDEX(Booking!$F:$F,MATCH($A126,Booking!$A:$A,0)),"")</f>
        <v>3</v>
      </c>
      <c r="K126" s="3" t="n">
        <f aca="false">IFERROR(INDEX(Confirmations!$F:$F,MATCH($A126,Confirmations!$A:$A,0)),"")</f>
        <v>3</v>
      </c>
      <c r="L126" s="3" t="str">
        <f aca="false">IF(NOT(C126),"Unconfirmed",IF(NOT(B126),"Unbooked",IF(D126&lt;&gt;E126,"Counterparty",IF(ABS(F126-G126)&gt;F126*Rules!$B$4/10000,"Notional",IF(H126&lt;&gt;I126,"Rate or price",IF(J126&lt;&gt;K126,"Value date","Matched"))))))</f>
        <v>Matched</v>
      </c>
      <c r="M126" s="3" t="n">
        <f aca="false">IF(B126,INDEX(Booking!$G:$G,MATCH(A126,Booking!$A:$A,0)),INDEX(Confirmations!$G:$G,MATCH(A126,Confirmations!$A:$A,0)))</f>
        <v>7</v>
      </c>
      <c r="N126" s="13" t="b">
        <f aca="false">AND(L126&lt;&gt;"Matched",M126&gt;Rules!$B$5)</f>
        <v>0</v>
      </c>
      <c r="O126" s="3" t="str">
        <f aca="false">INDEX(Rules!$B$8:$B$14,MATCH(L126,Rules!$A$8:$A$14,0))</f>
        <v>None</v>
      </c>
    </row>
    <row r="127" customFormat="false" ht="15" hidden="false" customHeight="false" outlineLevel="0" collapsed="false">
      <c r="A127" s="3" t="s">
        <v>169</v>
      </c>
      <c r="B127" s="13" t="b">
        <f aca="false">ISNUMBER(MATCH(A127,Booking!$A:$A,0))</f>
        <v>1</v>
      </c>
      <c r="C127" s="13" t="b">
        <f aca="false">ISNUMBER(MATCH(A127,Confirmations!$A:$A,0))</f>
        <v>1</v>
      </c>
      <c r="D127" s="3" t="str">
        <f aca="false">IFERROR(INDEX(Booking!$C:$C,MATCH($A127,Booking!$A:$A,0)),"")</f>
        <v>Kestrel Macro Fund</v>
      </c>
      <c r="E127" s="3" t="str">
        <f aca="false">IFERROR(INDEX(Confirmations!$C:$C,MATCH($A127,Confirmations!$A:$A,0)),"")</f>
        <v>Kestrel Macro Fund</v>
      </c>
      <c r="F127" s="14" t="n">
        <f aca="false">IFERROR(INDEX(Booking!$D:$D,MATCH($A127,Booking!$A:$A,0)),"")</f>
        <v>47000000</v>
      </c>
      <c r="G127" s="14" t="n">
        <f aca="false">IFERROR(INDEX(Confirmations!$D:$D,MATCH($A127,Confirmations!$A:$A,0)),"")</f>
        <v>47000000</v>
      </c>
      <c r="H127" s="15" t="n">
        <f aca="false">IFERROR(INDEX(Booking!$E:$E,MATCH($A127,Booking!$A:$A,0)),"")</f>
        <v>4.5627</v>
      </c>
      <c r="I127" s="15" t="n">
        <f aca="false">IFERROR(INDEX(Confirmations!$E:$E,MATCH($A127,Confirmations!$A:$A,0)),"")</f>
        <v>4.5627</v>
      </c>
      <c r="J127" s="3" t="n">
        <f aca="false">IFERROR(INDEX(Booking!$F:$F,MATCH($A127,Booking!$A:$A,0)),"")</f>
        <v>1</v>
      </c>
      <c r="K127" s="3" t="n">
        <f aca="false">IFERROR(INDEX(Confirmations!$F:$F,MATCH($A127,Confirmations!$A:$A,0)),"")</f>
        <v>1</v>
      </c>
      <c r="L127" s="3" t="str">
        <f aca="false">IF(NOT(C127),"Unconfirmed",IF(NOT(B127),"Unbooked",IF(D127&lt;&gt;E127,"Counterparty",IF(ABS(F127-G127)&gt;F127*Rules!$B$4/10000,"Notional",IF(H127&lt;&gt;I127,"Rate or price",IF(J127&lt;&gt;K127,"Value date","Matched"))))))</f>
        <v>Matched</v>
      </c>
      <c r="M127" s="3" t="n">
        <f aca="false">IF(B127,INDEX(Booking!$G:$G,MATCH(A127,Booking!$A:$A,0)),INDEX(Confirmations!$G:$G,MATCH(A127,Confirmations!$A:$A,0)))</f>
        <v>1</v>
      </c>
      <c r="N127" s="13" t="b">
        <f aca="false">AND(L127&lt;&gt;"Matched",M127&gt;Rules!$B$5)</f>
        <v>0</v>
      </c>
      <c r="O127" s="3" t="str">
        <f aca="false">INDEX(Rules!$B$8:$B$14,MATCH(L127,Rules!$A$8:$A$14,0))</f>
        <v>None</v>
      </c>
    </row>
    <row r="128" customFormat="false" ht="15" hidden="false" customHeight="false" outlineLevel="0" collapsed="false">
      <c r="A128" s="3" t="s">
        <v>170</v>
      </c>
      <c r="B128" s="13" t="b">
        <f aca="false">ISNUMBER(MATCH(A128,Booking!$A:$A,0))</f>
        <v>1</v>
      </c>
      <c r="C128" s="13" t="b">
        <f aca="false">ISNUMBER(MATCH(A128,Confirmations!$A:$A,0))</f>
        <v>1</v>
      </c>
      <c r="D128" s="3" t="str">
        <f aca="false">IFERROR(INDEX(Booking!$C:$C,MATCH($A128,Booking!$A:$A,0)),"")</f>
        <v>Kestrel Macro Fund</v>
      </c>
      <c r="E128" s="3" t="str">
        <f aca="false">IFERROR(INDEX(Confirmations!$C:$C,MATCH($A128,Confirmations!$A:$A,0)),"")</f>
        <v>Kestrel Macro Fund</v>
      </c>
      <c r="F128" s="14" t="n">
        <f aca="false">IFERROR(INDEX(Booking!$D:$D,MATCH($A128,Booking!$A:$A,0)),"")</f>
        <v>16000000</v>
      </c>
      <c r="G128" s="14" t="n">
        <f aca="false">IFERROR(INDEX(Confirmations!$D:$D,MATCH($A128,Confirmations!$A:$A,0)),"")</f>
        <v>16000000</v>
      </c>
      <c r="H128" s="15" t="n">
        <f aca="false">IFERROR(INDEX(Booking!$E:$E,MATCH($A128,Booking!$A:$A,0)),"")</f>
        <v>6.8198</v>
      </c>
      <c r="I128" s="15" t="n">
        <f aca="false">IFERROR(INDEX(Confirmations!$E:$E,MATCH($A128,Confirmations!$A:$A,0)),"")</f>
        <v>6.8198</v>
      </c>
      <c r="J128" s="3" t="n">
        <f aca="false">IFERROR(INDEX(Booking!$F:$F,MATCH($A128,Booking!$A:$A,0)),"")</f>
        <v>3</v>
      </c>
      <c r="K128" s="3" t="n">
        <f aca="false">IFERROR(INDEX(Confirmations!$F:$F,MATCH($A128,Confirmations!$A:$A,0)),"")</f>
        <v>3</v>
      </c>
      <c r="L128" s="3" t="str">
        <f aca="false">IF(NOT(C128),"Unconfirmed",IF(NOT(B128),"Unbooked",IF(D128&lt;&gt;E128,"Counterparty",IF(ABS(F128-G128)&gt;F128*Rules!$B$4/10000,"Notional",IF(H128&lt;&gt;I128,"Rate or price",IF(J128&lt;&gt;K128,"Value date","Matched"))))))</f>
        <v>Matched</v>
      </c>
      <c r="M128" s="3" t="n">
        <f aca="false">IF(B128,INDEX(Booking!$G:$G,MATCH(A128,Booking!$A:$A,0)),INDEX(Confirmations!$G:$G,MATCH(A128,Confirmations!$A:$A,0)))</f>
        <v>6</v>
      </c>
      <c r="N128" s="13" t="b">
        <f aca="false">AND(L128&lt;&gt;"Matched",M128&gt;Rules!$B$5)</f>
        <v>0</v>
      </c>
      <c r="O128" s="3" t="str">
        <f aca="false">INDEX(Rules!$B$8:$B$14,MATCH(L128,Rules!$A$8:$A$14,0))</f>
        <v>None</v>
      </c>
    </row>
    <row r="129" customFormat="false" ht="15" hidden="false" customHeight="false" outlineLevel="0" collapsed="false">
      <c r="A129" s="3" t="s">
        <v>171</v>
      </c>
      <c r="B129" s="13" t="b">
        <f aca="false">ISNUMBER(MATCH(A129,Booking!$A:$A,0))</f>
        <v>1</v>
      </c>
      <c r="C129" s="13" t="b">
        <f aca="false">ISNUMBER(MATCH(A129,Confirmations!$A:$A,0))</f>
        <v>1</v>
      </c>
      <c r="D129" s="3" t="str">
        <f aca="false">IFERROR(INDEX(Booking!$C:$C,MATCH($A129,Booking!$A:$A,0)),"")</f>
        <v>Vale Corporate Treasury</v>
      </c>
      <c r="E129" s="3" t="str">
        <f aca="false">IFERROR(INDEX(Confirmations!$C:$C,MATCH($A129,Confirmations!$A:$A,0)),"")</f>
        <v>Vale Corporate Treasury</v>
      </c>
      <c r="F129" s="14" t="n">
        <f aca="false">IFERROR(INDEX(Booking!$D:$D,MATCH($A129,Booking!$A:$A,0)),"")</f>
        <v>31000000</v>
      </c>
      <c r="G129" s="14" t="n">
        <f aca="false">IFERROR(INDEX(Confirmations!$D:$D,MATCH($A129,Confirmations!$A:$A,0)),"")</f>
        <v>31000000</v>
      </c>
      <c r="H129" s="15" t="n">
        <f aca="false">IFERROR(INDEX(Booking!$E:$E,MATCH($A129,Booking!$A:$A,0)),"")</f>
        <v>2.3699</v>
      </c>
      <c r="I129" s="15" t="n">
        <f aca="false">IFERROR(INDEX(Confirmations!$E:$E,MATCH($A129,Confirmations!$A:$A,0)),"")</f>
        <v>2.3699</v>
      </c>
      <c r="J129" s="3" t="n">
        <f aca="false">IFERROR(INDEX(Booking!$F:$F,MATCH($A129,Booking!$A:$A,0)),"")</f>
        <v>1</v>
      </c>
      <c r="K129" s="3" t="n">
        <f aca="false">IFERROR(INDEX(Confirmations!$F:$F,MATCH($A129,Confirmations!$A:$A,0)),"")</f>
        <v>1</v>
      </c>
      <c r="L129" s="3" t="str">
        <f aca="false">IF(NOT(C129),"Unconfirmed",IF(NOT(B129),"Unbooked",IF(D129&lt;&gt;E129,"Counterparty",IF(ABS(F129-G129)&gt;F129*Rules!$B$4/10000,"Notional",IF(H129&lt;&gt;I129,"Rate or price",IF(J129&lt;&gt;K129,"Value date","Matched"))))))</f>
        <v>Matched</v>
      </c>
      <c r="M129" s="3" t="n">
        <f aca="false">IF(B129,INDEX(Booking!$G:$G,MATCH(A129,Booking!$A:$A,0)),INDEX(Confirmations!$G:$G,MATCH(A129,Confirmations!$A:$A,0)))</f>
        <v>1</v>
      </c>
      <c r="N129" s="13" t="b">
        <f aca="false">AND(L129&lt;&gt;"Matched",M129&gt;Rules!$B$5)</f>
        <v>0</v>
      </c>
      <c r="O129" s="3" t="str">
        <f aca="false">INDEX(Rules!$B$8:$B$14,MATCH(L129,Rules!$A$8:$A$14,0))</f>
        <v>None</v>
      </c>
    </row>
    <row r="130" customFormat="false" ht="15" hidden="false" customHeight="false" outlineLevel="0" collapsed="false">
      <c r="A130" s="3" t="s">
        <v>172</v>
      </c>
      <c r="B130" s="13" t="b">
        <f aca="false">ISNUMBER(MATCH(A130,Booking!$A:$A,0))</f>
        <v>1</v>
      </c>
      <c r="C130" s="13" t="b">
        <f aca="false">ISNUMBER(MATCH(A130,Confirmations!$A:$A,0))</f>
        <v>1</v>
      </c>
      <c r="D130" s="3" t="str">
        <f aca="false">IFERROR(INDEX(Booking!$C:$C,MATCH($A130,Booking!$A:$A,0)),"")</f>
        <v>Northbay Pension Fund</v>
      </c>
      <c r="E130" s="3" t="str">
        <f aca="false">IFERROR(INDEX(Confirmations!$C:$C,MATCH($A130,Confirmations!$A:$A,0)),"")</f>
        <v>Northbay Pension Fund</v>
      </c>
      <c r="F130" s="14" t="n">
        <f aca="false">IFERROR(INDEX(Booking!$D:$D,MATCH($A130,Booking!$A:$A,0)),"")</f>
        <v>49000000</v>
      </c>
      <c r="G130" s="14" t="n">
        <f aca="false">IFERROR(INDEX(Confirmations!$D:$D,MATCH($A130,Confirmations!$A:$A,0)),"")</f>
        <v>49000000</v>
      </c>
      <c r="H130" s="15" t="n">
        <f aca="false">IFERROR(INDEX(Booking!$E:$E,MATCH($A130,Booking!$A:$A,0)),"")</f>
        <v>3.696</v>
      </c>
      <c r="I130" s="15" t="n">
        <f aca="false">IFERROR(INDEX(Confirmations!$E:$E,MATCH($A130,Confirmations!$A:$A,0)),"")</f>
        <v>3.696</v>
      </c>
      <c r="J130" s="3" t="n">
        <f aca="false">IFERROR(INDEX(Booking!$F:$F,MATCH($A130,Booking!$A:$A,0)),"")</f>
        <v>1</v>
      </c>
      <c r="K130" s="3" t="n">
        <f aca="false">IFERROR(INDEX(Confirmations!$F:$F,MATCH($A130,Confirmations!$A:$A,0)),"")</f>
        <v>1</v>
      </c>
      <c r="L130" s="3" t="str">
        <f aca="false">IF(NOT(C130),"Unconfirmed",IF(NOT(B130),"Unbooked",IF(D130&lt;&gt;E130,"Counterparty",IF(ABS(F130-G130)&gt;F130*Rules!$B$4/10000,"Notional",IF(H130&lt;&gt;I130,"Rate or price",IF(J130&lt;&gt;K130,"Value date","Matched"))))))</f>
        <v>Matched</v>
      </c>
      <c r="M130" s="3" t="n">
        <f aca="false">IF(B130,INDEX(Booking!$G:$G,MATCH(A130,Booking!$A:$A,0)),INDEX(Confirmations!$G:$G,MATCH(A130,Confirmations!$A:$A,0)))</f>
        <v>2</v>
      </c>
      <c r="N130" s="13" t="b">
        <f aca="false">AND(L130&lt;&gt;"Matched",M130&gt;Rules!$B$5)</f>
        <v>0</v>
      </c>
      <c r="O130" s="3" t="str">
        <f aca="false">INDEX(Rules!$B$8:$B$14,MATCH(L130,Rules!$A$8:$A$14,0))</f>
        <v>None</v>
      </c>
    </row>
    <row r="131" customFormat="false" ht="15" hidden="false" customHeight="false" outlineLevel="0" collapsed="false">
      <c r="A131" s="3" t="s">
        <v>173</v>
      </c>
      <c r="B131" s="13" t="b">
        <f aca="false">ISNUMBER(MATCH(A131,Booking!$A:$A,0))</f>
        <v>1</v>
      </c>
      <c r="C131" s="13" t="b">
        <f aca="false">ISNUMBER(MATCH(A131,Confirmations!$A:$A,0))</f>
        <v>1</v>
      </c>
      <c r="D131" s="3" t="str">
        <f aca="false">IFERROR(INDEX(Booking!$C:$C,MATCH($A131,Booking!$A:$A,0)),"")</f>
        <v>Harbour Insurance</v>
      </c>
      <c r="E131" s="3" t="str">
        <f aca="false">IFERROR(INDEX(Confirmations!$C:$C,MATCH($A131,Confirmations!$A:$A,0)),"")</f>
        <v>Harbour Insurance</v>
      </c>
      <c r="F131" s="14" t="n">
        <f aca="false">IFERROR(INDEX(Booking!$D:$D,MATCH($A131,Booking!$A:$A,0)),"")</f>
        <v>35000000</v>
      </c>
      <c r="G131" s="14" t="n">
        <f aca="false">IFERROR(INDEX(Confirmations!$D:$D,MATCH($A131,Confirmations!$A:$A,0)),"")</f>
        <v>35000000</v>
      </c>
      <c r="H131" s="15" t="n">
        <f aca="false">IFERROR(INDEX(Booking!$E:$E,MATCH($A131,Booking!$A:$A,0)),"")</f>
        <v>3.7407</v>
      </c>
      <c r="I131" s="15" t="n">
        <f aca="false">IFERROR(INDEX(Confirmations!$E:$E,MATCH($A131,Confirmations!$A:$A,0)),"")</f>
        <v>3.7407</v>
      </c>
      <c r="J131" s="3" t="n">
        <f aca="false">IFERROR(INDEX(Booking!$F:$F,MATCH($A131,Booking!$A:$A,0)),"")</f>
        <v>3</v>
      </c>
      <c r="K131" s="3" t="n">
        <f aca="false">IFERROR(INDEX(Confirmations!$F:$F,MATCH($A131,Confirmations!$A:$A,0)),"")</f>
        <v>3</v>
      </c>
      <c r="L131" s="3" t="str">
        <f aca="false">IF(NOT(C131),"Unconfirmed",IF(NOT(B131),"Unbooked",IF(D131&lt;&gt;E131,"Counterparty",IF(ABS(F131-G131)&gt;F131*Rules!$B$4/10000,"Notional",IF(H131&lt;&gt;I131,"Rate or price",IF(J131&lt;&gt;K131,"Value date","Matched"))))))</f>
        <v>Matched</v>
      </c>
      <c r="M131" s="3" t="n">
        <f aca="false">IF(B131,INDEX(Booking!$G:$G,MATCH(A131,Booking!$A:$A,0)),INDEX(Confirmations!$G:$G,MATCH(A131,Confirmations!$A:$A,0)))</f>
        <v>2</v>
      </c>
      <c r="N131" s="13" t="b">
        <f aca="false">AND(L131&lt;&gt;"Matched",M131&gt;Rules!$B$5)</f>
        <v>0</v>
      </c>
      <c r="O131" s="3" t="str">
        <f aca="false">INDEX(Rules!$B$8:$B$14,MATCH(L131,Rules!$A$8:$A$14,0))</f>
        <v>None</v>
      </c>
    </row>
    <row r="132" customFormat="false" ht="15" hidden="false" customHeight="false" outlineLevel="0" collapsed="false">
      <c r="A132" s="3" t="s">
        <v>174</v>
      </c>
      <c r="B132" s="13" t="b">
        <f aca="false">ISNUMBER(MATCH(A132,Booking!$A:$A,0))</f>
        <v>1</v>
      </c>
      <c r="C132" s="13" t="b">
        <f aca="false">ISNUMBER(MATCH(A132,Confirmations!$A:$A,0))</f>
        <v>1</v>
      </c>
      <c r="D132" s="3" t="str">
        <f aca="false">IFERROR(INDEX(Booking!$C:$C,MATCH($A132,Booking!$A:$A,0)),"")</f>
        <v>Meridian Bank</v>
      </c>
      <c r="E132" s="3" t="str">
        <f aca="false">IFERROR(INDEX(Confirmations!$C:$C,MATCH($A132,Confirmations!$A:$A,0)),"")</f>
        <v>Meridian Bank</v>
      </c>
      <c r="F132" s="14" t="n">
        <f aca="false">IFERROR(INDEX(Booking!$D:$D,MATCH($A132,Booking!$A:$A,0)),"")</f>
        <v>1000000</v>
      </c>
      <c r="G132" s="14" t="n">
        <f aca="false">IFERROR(INDEX(Confirmations!$D:$D,MATCH($A132,Confirmations!$A:$A,0)),"")</f>
        <v>1000000</v>
      </c>
      <c r="H132" s="15" t="n">
        <f aca="false">IFERROR(INDEX(Booking!$E:$E,MATCH($A132,Booking!$A:$A,0)),"")</f>
        <v>6.9761</v>
      </c>
      <c r="I132" s="15" t="n">
        <f aca="false">IFERROR(INDEX(Confirmations!$E:$E,MATCH($A132,Confirmations!$A:$A,0)),"")</f>
        <v>6.9761</v>
      </c>
      <c r="J132" s="3" t="n">
        <f aca="false">IFERROR(INDEX(Booking!$F:$F,MATCH($A132,Booking!$A:$A,0)),"")</f>
        <v>3</v>
      </c>
      <c r="K132" s="3" t="n">
        <f aca="false">IFERROR(INDEX(Confirmations!$F:$F,MATCH($A132,Confirmations!$A:$A,0)),"")</f>
        <v>3</v>
      </c>
      <c r="L132" s="3" t="str">
        <f aca="false">IF(NOT(C132),"Unconfirmed",IF(NOT(B132),"Unbooked",IF(D132&lt;&gt;E132,"Counterparty",IF(ABS(F132-G132)&gt;F132*Rules!$B$4/10000,"Notional",IF(H132&lt;&gt;I132,"Rate or price",IF(J132&lt;&gt;K132,"Value date","Matched"))))))</f>
        <v>Matched</v>
      </c>
      <c r="M132" s="3" t="n">
        <f aca="false">IF(B132,INDEX(Booking!$G:$G,MATCH(A132,Booking!$A:$A,0)),INDEX(Confirmations!$G:$G,MATCH(A132,Confirmations!$A:$A,0)))</f>
        <v>5</v>
      </c>
      <c r="N132" s="13" t="b">
        <f aca="false">AND(L132&lt;&gt;"Matched",M132&gt;Rules!$B$5)</f>
        <v>0</v>
      </c>
      <c r="O132" s="3" t="str">
        <f aca="false">INDEX(Rules!$B$8:$B$14,MATCH(L132,Rules!$A$8:$A$14,0))</f>
        <v>None</v>
      </c>
    </row>
    <row r="133" customFormat="false" ht="15" hidden="false" customHeight="false" outlineLevel="0" collapsed="false">
      <c r="A133" s="3" t="s">
        <v>175</v>
      </c>
      <c r="B133" s="13" t="b">
        <f aca="false">ISNUMBER(MATCH(A133,Booking!$A:$A,0))</f>
        <v>1</v>
      </c>
      <c r="C133" s="13" t="b">
        <f aca="false">ISNUMBER(MATCH(A133,Confirmations!$A:$A,0))</f>
        <v>1</v>
      </c>
      <c r="D133" s="3" t="str">
        <f aca="false">IFERROR(INDEX(Booking!$C:$C,MATCH($A133,Booking!$A:$A,0)),"")</f>
        <v>Tarn Energy Trading</v>
      </c>
      <c r="E133" s="3" t="str">
        <f aca="false">IFERROR(INDEX(Confirmations!$C:$C,MATCH($A133,Confirmations!$A:$A,0)),"")</f>
        <v>Tarn Energy Trading</v>
      </c>
      <c r="F133" s="14" t="n">
        <f aca="false">IFERROR(INDEX(Booking!$D:$D,MATCH($A133,Booking!$A:$A,0)),"")</f>
        <v>6000000</v>
      </c>
      <c r="G133" s="14" t="n">
        <f aca="false">IFERROR(INDEX(Confirmations!$D:$D,MATCH($A133,Confirmations!$A:$A,0)),"")</f>
        <v>6000000</v>
      </c>
      <c r="H133" s="15" t="n">
        <f aca="false">IFERROR(INDEX(Booking!$E:$E,MATCH($A133,Booking!$A:$A,0)),"")</f>
        <v>1.6487</v>
      </c>
      <c r="I133" s="15" t="n">
        <f aca="false">IFERROR(INDEX(Confirmations!$E:$E,MATCH($A133,Confirmations!$A:$A,0)),"")</f>
        <v>1.6487</v>
      </c>
      <c r="J133" s="3" t="n">
        <f aca="false">IFERROR(INDEX(Booking!$F:$F,MATCH($A133,Booking!$A:$A,0)),"")</f>
        <v>2</v>
      </c>
      <c r="K133" s="3" t="n">
        <f aca="false">IFERROR(INDEX(Confirmations!$F:$F,MATCH($A133,Confirmations!$A:$A,0)),"")</f>
        <v>2</v>
      </c>
      <c r="L133" s="3" t="str">
        <f aca="false">IF(NOT(C133),"Unconfirmed",IF(NOT(B133),"Unbooked",IF(D133&lt;&gt;E133,"Counterparty",IF(ABS(F133-G133)&gt;F133*Rules!$B$4/10000,"Notional",IF(H133&lt;&gt;I133,"Rate or price",IF(J133&lt;&gt;K133,"Value date","Matched"))))))</f>
        <v>Matched</v>
      </c>
      <c r="M133" s="3" t="n">
        <f aca="false">IF(B133,INDEX(Booking!$G:$G,MATCH(A133,Booking!$A:$A,0)),INDEX(Confirmations!$G:$G,MATCH(A133,Confirmations!$A:$A,0)))</f>
        <v>4</v>
      </c>
      <c r="N133" s="13" t="b">
        <f aca="false">AND(L133&lt;&gt;"Matched",M133&gt;Rules!$B$5)</f>
        <v>0</v>
      </c>
      <c r="O133" s="3" t="str">
        <f aca="false">INDEX(Rules!$B$8:$B$14,MATCH(L133,Rules!$A$8:$A$14,0))</f>
        <v>None</v>
      </c>
    </row>
    <row r="134" customFormat="false" ht="15" hidden="false" customHeight="false" outlineLevel="0" collapsed="false">
      <c r="A134" s="3" t="s">
        <v>176</v>
      </c>
      <c r="B134" s="13" t="b">
        <f aca="false">ISNUMBER(MATCH(A134,Booking!$A:$A,0))</f>
        <v>1</v>
      </c>
      <c r="C134" s="13" t="b">
        <f aca="false">ISNUMBER(MATCH(A134,Confirmations!$A:$A,0))</f>
        <v>1</v>
      </c>
      <c r="D134" s="3" t="str">
        <f aca="false">IFERROR(INDEX(Booking!$C:$C,MATCH($A134,Booking!$A:$A,0)),"")</f>
        <v>Kestrel Macro Fund</v>
      </c>
      <c r="E134" s="3" t="str">
        <f aca="false">IFERROR(INDEX(Confirmations!$C:$C,MATCH($A134,Confirmations!$A:$A,0)),"")</f>
        <v>Kestrel Macro Fund</v>
      </c>
      <c r="F134" s="14" t="n">
        <f aca="false">IFERROR(INDEX(Booking!$D:$D,MATCH($A134,Booking!$A:$A,0)),"")</f>
        <v>9000000</v>
      </c>
      <c r="G134" s="14" t="n">
        <f aca="false">IFERROR(INDEX(Confirmations!$D:$D,MATCH($A134,Confirmations!$A:$A,0)),"")</f>
        <v>9000000</v>
      </c>
      <c r="H134" s="15" t="n">
        <f aca="false">IFERROR(INDEX(Booking!$E:$E,MATCH($A134,Booking!$A:$A,0)),"")</f>
        <v>2.8138</v>
      </c>
      <c r="I134" s="15" t="n">
        <f aca="false">IFERROR(INDEX(Confirmations!$E:$E,MATCH($A134,Confirmations!$A:$A,0)),"")</f>
        <v>2.8138</v>
      </c>
      <c r="J134" s="3" t="n">
        <f aca="false">IFERROR(INDEX(Booking!$F:$F,MATCH($A134,Booking!$A:$A,0)),"")</f>
        <v>2</v>
      </c>
      <c r="K134" s="3" t="n">
        <f aca="false">IFERROR(INDEX(Confirmations!$F:$F,MATCH($A134,Confirmations!$A:$A,0)),"")</f>
        <v>2</v>
      </c>
      <c r="L134" s="3" t="str">
        <f aca="false">IF(NOT(C134),"Unconfirmed",IF(NOT(B134),"Unbooked",IF(D134&lt;&gt;E134,"Counterparty",IF(ABS(F134-G134)&gt;F134*Rules!$B$4/10000,"Notional",IF(H134&lt;&gt;I134,"Rate or price",IF(J134&lt;&gt;K134,"Value date","Matched"))))))</f>
        <v>Matched</v>
      </c>
      <c r="M134" s="3" t="n">
        <f aca="false">IF(B134,INDEX(Booking!$G:$G,MATCH(A134,Booking!$A:$A,0)),INDEX(Confirmations!$G:$G,MATCH(A134,Confirmations!$A:$A,0)))</f>
        <v>3</v>
      </c>
      <c r="N134" s="13" t="b">
        <f aca="false">AND(L134&lt;&gt;"Matched",M134&gt;Rules!$B$5)</f>
        <v>0</v>
      </c>
      <c r="O134" s="3" t="str">
        <f aca="false">INDEX(Rules!$B$8:$B$14,MATCH(L134,Rules!$A$8:$A$14,0))</f>
        <v>None</v>
      </c>
    </row>
    <row r="135" customFormat="false" ht="15" hidden="false" customHeight="false" outlineLevel="0" collapsed="false">
      <c r="A135" s="3" t="s">
        <v>177</v>
      </c>
      <c r="B135" s="13" t="b">
        <f aca="false">ISNUMBER(MATCH(A135,Booking!$A:$A,0))</f>
        <v>1</v>
      </c>
      <c r="C135" s="13" t="b">
        <f aca="false">ISNUMBER(MATCH(A135,Confirmations!$A:$A,0))</f>
        <v>1</v>
      </c>
      <c r="D135" s="3" t="str">
        <f aca="false">IFERROR(INDEX(Booking!$C:$C,MATCH($A135,Booking!$A:$A,0)),"")</f>
        <v>Harbour Insurance</v>
      </c>
      <c r="E135" s="3" t="str">
        <f aca="false">IFERROR(INDEX(Confirmations!$C:$C,MATCH($A135,Confirmations!$A:$A,0)),"")</f>
        <v>Harbour Insurance</v>
      </c>
      <c r="F135" s="14" t="n">
        <f aca="false">IFERROR(INDEX(Booking!$D:$D,MATCH($A135,Booking!$A:$A,0)),"")</f>
        <v>37000000</v>
      </c>
      <c r="G135" s="14" t="n">
        <f aca="false">IFERROR(INDEX(Confirmations!$D:$D,MATCH($A135,Confirmations!$A:$A,0)),"")</f>
        <v>37000000</v>
      </c>
      <c r="H135" s="15" t="n">
        <f aca="false">IFERROR(INDEX(Booking!$E:$E,MATCH($A135,Booking!$A:$A,0)),"")</f>
        <v>3.8272</v>
      </c>
      <c r="I135" s="15" t="n">
        <f aca="false">IFERROR(INDEX(Confirmations!$E:$E,MATCH($A135,Confirmations!$A:$A,0)),"")</f>
        <v>3.8272</v>
      </c>
      <c r="J135" s="3" t="n">
        <f aca="false">IFERROR(INDEX(Booking!$F:$F,MATCH($A135,Booking!$A:$A,0)),"")</f>
        <v>3</v>
      </c>
      <c r="K135" s="3" t="n">
        <f aca="false">IFERROR(INDEX(Confirmations!$F:$F,MATCH($A135,Confirmations!$A:$A,0)),"")</f>
        <v>3</v>
      </c>
      <c r="L135" s="3" t="str">
        <f aca="false">IF(NOT(C135),"Unconfirmed",IF(NOT(B135),"Unbooked",IF(D135&lt;&gt;E135,"Counterparty",IF(ABS(F135-G135)&gt;F135*Rules!$B$4/10000,"Notional",IF(H135&lt;&gt;I135,"Rate or price",IF(J135&lt;&gt;K135,"Value date","Matched"))))))</f>
        <v>Matched</v>
      </c>
      <c r="M135" s="3" t="n">
        <f aca="false">IF(B135,INDEX(Booking!$G:$G,MATCH(A135,Booking!$A:$A,0)),INDEX(Confirmations!$G:$G,MATCH(A135,Confirmations!$A:$A,0)))</f>
        <v>1</v>
      </c>
      <c r="N135" s="13" t="b">
        <f aca="false">AND(L135&lt;&gt;"Matched",M135&gt;Rules!$B$5)</f>
        <v>0</v>
      </c>
      <c r="O135" s="3" t="str">
        <f aca="false">INDEX(Rules!$B$8:$B$14,MATCH(L135,Rules!$A$8:$A$14,0))</f>
        <v>None</v>
      </c>
    </row>
    <row r="136" customFormat="false" ht="15" hidden="false" customHeight="false" outlineLevel="0" collapsed="false">
      <c r="A136" s="3" t="s">
        <v>178</v>
      </c>
      <c r="B136" s="13" t="b">
        <f aca="false">ISNUMBER(MATCH(A136,Booking!$A:$A,0))</f>
        <v>1</v>
      </c>
      <c r="C136" s="13" t="b">
        <f aca="false">ISNUMBER(MATCH(A136,Confirmations!$A:$A,0))</f>
        <v>1</v>
      </c>
      <c r="D136" s="3" t="str">
        <f aca="false">IFERROR(INDEX(Booking!$C:$C,MATCH($A136,Booking!$A:$A,0)),"")</f>
        <v>Kestrel Macro Fund</v>
      </c>
      <c r="E136" s="3" t="str">
        <f aca="false">IFERROR(INDEX(Confirmations!$C:$C,MATCH($A136,Confirmations!$A:$A,0)),"")</f>
        <v>Kestrel Macro Fund</v>
      </c>
      <c r="F136" s="14" t="n">
        <f aca="false">IFERROR(INDEX(Booking!$D:$D,MATCH($A136,Booking!$A:$A,0)),"")</f>
        <v>24000000</v>
      </c>
      <c r="G136" s="14" t="n">
        <f aca="false">IFERROR(INDEX(Confirmations!$D:$D,MATCH($A136,Confirmations!$A:$A,0)),"")</f>
        <v>24000000</v>
      </c>
      <c r="H136" s="15" t="n">
        <f aca="false">IFERROR(INDEX(Booking!$E:$E,MATCH($A136,Booking!$A:$A,0)),"")</f>
        <v>1.4808</v>
      </c>
      <c r="I136" s="15" t="n">
        <f aca="false">IFERROR(INDEX(Confirmations!$E:$E,MATCH($A136,Confirmations!$A:$A,0)),"")</f>
        <v>1.4708</v>
      </c>
      <c r="J136" s="3" t="n">
        <f aca="false">IFERROR(INDEX(Booking!$F:$F,MATCH($A136,Booking!$A:$A,0)),"")</f>
        <v>2</v>
      </c>
      <c r="K136" s="3" t="n">
        <f aca="false">IFERROR(INDEX(Confirmations!$F:$F,MATCH($A136,Confirmations!$A:$A,0)),"")</f>
        <v>2</v>
      </c>
      <c r="L136" s="3" t="str">
        <f aca="false">IF(NOT(C136),"Unconfirmed",IF(NOT(B136),"Unbooked",IF(D136&lt;&gt;E136,"Counterparty",IF(ABS(F136-G136)&gt;F136*Rules!$B$4/10000,"Notional",IF(H136&lt;&gt;I136,"Rate or price",IF(J136&lt;&gt;K136,"Value date","Matched"))))))</f>
        <v>Rate or price</v>
      </c>
      <c r="M136" s="3" t="n">
        <f aca="false">IF(B136,INDEX(Booking!$G:$G,MATCH(A136,Booking!$A:$A,0)),INDEX(Confirmations!$G:$G,MATCH(A136,Confirmations!$A:$A,0)))</f>
        <v>0</v>
      </c>
      <c r="N136" s="13" t="b">
        <f aca="false">AND(L136&lt;&gt;"Matched",M136&gt;Rules!$B$5)</f>
        <v>0</v>
      </c>
      <c r="O136" s="3" t="str">
        <f aca="false">INDEX(Rules!$B$8:$B$14,MATCH(L136,Rules!$A$8:$A$14,0))</f>
        <v>Middle office: amend booking</v>
      </c>
    </row>
    <row r="137" customFormat="false" ht="15" hidden="false" customHeight="false" outlineLevel="0" collapsed="false">
      <c r="A137" s="3" t="s">
        <v>179</v>
      </c>
      <c r="B137" s="13" t="b">
        <f aca="false">ISNUMBER(MATCH(A137,Booking!$A:$A,0))</f>
        <v>1</v>
      </c>
      <c r="C137" s="13" t="b">
        <f aca="false">ISNUMBER(MATCH(A137,Confirmations!$A:$A,0))</f>
        <v>1</v>
      </c>
      <c r="D137" s="3" t="str">
        <f aca="false">IFERROR(INDEX(Booking!$C:$C,MATCH($A137,Booking!$A:$A,0)),"")</f>
        <v>Solent Asset Management</v>
      </c>
      <c r="E137" s="3" t="str">
        <f aca="false">IFERROR(INDEX(Confirmations!$C:$C,MATCH($A137,Confirmations!$A:$A,0)),"")</f>
        <v>Solent Asset Management</v>
      </c>
      <c r="F137" s="14" t="n">
        <f aca="false">IFERROR(INDEX(Booking!$D:$D,MATCH($A137,Booking!$A:$A,0)),"")</f>
        <v>46000000</v>
      </c>
      <c r="G137" s="14" t="n">
        <f aca="false">IFERROR(INDEX(Confirmations!$D:$D,MATCH($A137,Confirmations!$A:$A,0)),"")</f>
        <v>46228730</v>
      </c>
      <c r="H137" s="15" t="n">
        <f aca="false">IFERROR(INDEX(Booking!$E:$E,MATCH($A137,Booking!$A:$A,0)),"")</f>
        <v>3.723</v>
      </c>
      <c r="I137" s="15" t="n">
        <f aca="false">IFERROR(INDEX(Confirmations!$E:$E,MATCH($A137,Confirmations!$A:$A,0)),"")</f>
        <v>3.723</v>
      </c>
      <c r="J137" s="3" t="n">
        <f aca="false">IFERROR(INDEX(Booking!$F:$F,MATCH($A137,Booking!$A:$A,0)),"")</f>
        <v>1</v>
      </c>
      <c r="K137" s="3" t="n">
        <f aca="false">IFERROR(INDEX(Confirmations!$F:$F,MATCH($A137,Confirmations!$A:$A,0)),"")</f>
        <v>1</v>
      </c>
      <c r="L137" s="3" t="str">
        <f aca="false">IF(NOT(C137),"Unconfirmed",IF(NOT(B137),"Unbooked",IF(D137&lt;&gt;E137,"Counterparty",IF(ABS(F137-G137)&gt;F137*Rules!$B$4/10000,"Notional",IF(H137&lt;&gt;I137,"Rate or price",IF(J137&lt;&gt;K137,"Value date","Matched"))))))</f>
        <v>Notional</v>
      </c>
      <c r="M137" s="3" t="n">
        <f aca="false">IF(B137,INDEX(Booking!$G:$G,MATCH(A137,Booking!$A:$A,0)),INDEX(Confirmations!$G:$G,MATCH(A137,Confirmations!$A:$A,0)))</f>
        <v>2</v>
      </c>
      <c r="N137" s="13" t="b">
        <f aca="false">AND(L137&lt;&gt;"Matched",M137&gt;Rules!$B$5)</f>
        <v>0</v>
      </c>
      <c r="O137" s="3" t="str">
        <f aca="false">INDEX(Rules!$B$8:$B$14,MATCH(L137,Rules!$A$8:$A$14,0))</f>
        <v>Middle office: amend booking</v>
      </c>
    </row>
    <row r="138" customFormat="false" ht="15" hidden="false" customHeight="false" outlineLevel="0" collapsed="false">
      <c r="A138" s="3" t="s">
        <v>180</v>
      </c>
      <c r="B138" s="13" t="b">
        <f aca="false">ISNUMBER(MATCH(A138,Booking!$A:$A,0))</f>
        <v>1</v>
      </c>
      <c r="C138" s="13" t="b">
        <f aca="false">ISNUMBER(MATCH(A138,Confirmations!$A:$A,0))</f>
        <v>1</v>
      </c>
      <c r="D138" s="3" t="str">
        <f aca="false">IFERROR(INDEX(Booking!$C:$C,MATCH($A138,Booking!$A:$A,0)),"")</f>
        <v>Northbay Pension Fund</v>
      </c>
      <c r="E138" s="3" t="str">
        <f aca="false">IFERROR(INDEX(Confirmations!$C:$C,MATCH($A138,Confirmations!$A:$A,0)),"")</f>
        <v>Northbay Pension Fund</v>
      </c>
      <c r="F138" s="14" t="n">
        <f aca="false">IFERROR(INDEX(Booking!$D:$D,MATCH($A138,Booking!$A:$A,0)),"")</f>
        <v>41000000</v>
      </c>
      <c r="G138" s="14" t="n">
        <f aca="false">IFERROR(INDEX(Confirmations!$D:$D,MATCH($A138,Confirmations!$A:$A,0)),"")</f>
        <v>41000000</v>
      </c>
      <c r="H138" s="15" t="n">
        <f aca="false">IFERROR(INDEX(Booking!$E:$E,MATCH($A138,Booking!$A:$A,0)),"")</f>
        <v>4.9668</v>
      </c>
      <c r="I138" s="15" t="n">
        <f aca="false">IFERROR(INDEX(Confirmations!$E:$E,MATCH($A138,Confirmations!$A:$A,0)),"")</f>
        <v>4.9668</v>
      </c>
      <c r="J138" s="3" t="n">
        <f aca="false">IFERROR(INDEX(Booking!$F:$F,MATCH($A138,Booking!$A:$A,0)),"")</f>
        <v>3</v>
      </c>
      <c r="K138" s="3" t="n">
        <f aca="false">IFERROR(INDEX(Confirmations!$F:$F,MATCH($A138,Confirmations!$A:$A,0)),"")</f>
        <v>3</v>
      </c>
      <c r="L138" s="3" t="str">
        <f aca="false">IF(NOT(C138),"Unconfirmed",IF(NOT(B138),"Unbooked",IF(D138&lt;&gt;E138,"Counterparty",IF(ABS(F138-G138)&gt;F138*Rules!$B$4/10000,"Notional",IF(H138&lt;&gt;I138,"Rate or price",IF(J138&lt;&gt;K138,"Value date","Matched"))))))</f>
        <v>Matched</v>
      </c>
      <c r="M138" s="3" t="n">
        <f aca="false">IF(B138,INDEX(Booking!$G:$G,MATCH(A138,Booking!$A:$A,0)),INDEX(Confirmations!$G:$G,MATCH(A138,Confirmations!$A:$A,0)))</f>
        <v>4</v>
      </c>
      <c r="N138" s="13" t="b">
        <f aca="false">AND(L138&lt;&gt;"Matched",M138&gt;Rules!$B$5)</f>
        <v>0</v>
      </c>
      <c r="O138" s="3" t="str">
        <f aca="false">INDEX(Rules!$B$8:$B$14,MATCH(L138,Rules!$A$8:$A$14,0))</f>
        <v>None</v>
      </c>
    </row>
    <row r="139" customFormat="false" ht="15" hidden="false" customHeight="false" outlineLevel="0" collapsed="false">
      <c r="A139" s="3" t="s">
        <v>181</v>
      </c>
      <c r="B139" s="13" t="b">
        <f aca="false">ISNUMBER(MATCH(A139,Booking!$A:$A,0))</f>
        <v>1</v>
      </c>
      <c r="C139" s="13" t="b">
        <f aca="false">ISNUMBER(MATCH(A139,Confirmations!$A:$A,0))</f>
        <v>1</v>
      </c>
      <c r="D139" s="3" t="str">
        <f aca="false">IFERROR(INDEX(Booking!$C:$C,MATCH($A139,Booking!$A:$A,0)),"")</f>
        <v>Tarn Energy Trading</v>
      </c>
      <c r="E139" s="3" t="str">
        <f aca="false">IFERROR(INDEX(Confirmations!$C:$C,MATCH($A139,Confirmations!$A:$A,0)),"")</f>
        <v>Tarn Energy Trading</v>
      </c>
      <c r="F139" s="14" t="n">
        <f aca="false">IFERROR(INDEX(Booking!$D:$D,MATCH($A139,Booking!$A:$A,0)),"")</f>
        <v>28000000</v>
      </c>
      <c r="G139" s="14" t="n">
        <f aca="false">IFERROR(INDEX(Confirmations!$D:$D,MATCH($A139,Confirmations!$A:$A,0)),"")</f>
        <v>28000000</v>
      </c>
      <c r="H139" s="15" t="n">
        <f aca="false">IFERROR(INDEX(Booking!$E:$E,MATCH($A139,Booking!$A:$A,0)),"")</f>
        <v>2.0567</v>
      </c>
      <c r="I139" s="15" t="n">
        <f aca="false">IFERROR(INDEX(Confirmations!$E:$E,MATCH($A139,Confirmations!$A:$A,0)),"")</f>
        <v>2.0567</v>
      </c>
      <c r="J139" s="3" t="n">
        <f aca="false">IFERROR(INDEX(Booking!$F:$F,MATCH($A139,Booking!$A:$A,0)),"")</f>
        <v>2</v>
      </c>
      <c r="K139" s="3" t="n">
        <f aca="false">IFERROR(INDEX(Confirmations!$F:$F,MATCH($A139,Confirmations!$A:$A,0)),"")</f>
        <v>2</v>
      </c>
      <c r="L139" s="3" t="str">
        <f aca="false">IF(NOT(C139),"Unconfirmed",IF(NOT(B139),"Unbooked",IF(D139&lt;&gt;E139,"Counterparty",IF(ABS(F139-G139)&gt;F139*Rules!$B$4/10000,"Notional",IF(H139&lt;&gt;I139,"Rate or price",IF(J139&lt;&gt;K139,"Value date","Matched"))))))</f>
        <v>Matched</v>
      </c>
      <c r="M139" s="3" t="n">
        <f aca="false">IF(B139,INDEX(Booking!$G:$G,MATCH(A139,Booking!$A:$A,0)),INDEX(Confirmations!$G:$G,MATCH(A139,Confirmations!$A:$A,0)))</f>
        <v>2</v>
      </c>
      <c r="N139" s="13" t="b">
        <f aca="false">AND(L139&lt;&gt;"Matched",M139&gt;Rules!$B$5)</f>
        <v>0</v>
      </c>
      <c r="O139" s="3" t="str">
        <f aca="false">INDEX(Rules!$B$8:$B$14,MATCH(L139,Rules!$A$8:$A$14,0))</f>
        <v>None</v>
      </c>
    </row>
    <row r="140" customFormat="false" ht="15" hidden="false" customHeight="false" outlineLevel="0" collapsed="false">
      <c r="A140" s="3" t="s">
        <v>285</v>
      </c>
      <c r="B140" s="13" t="b">
        <f aca="false">ISNUMBER(MATCH(A140,Booking!$A:$A,0))</f>
        <v>0</v>
      </c>
      <c r="C140" s="13" t="b">
        <f aca="false">ISNUMBER(MATCH(A140,Confirmations!$A:$A,0))</f>
        <v>1</v>
      </c>
      <c r="D140" s="3" t="str">
        <f aca="false">IFERROR(INDEX(Booking!$C:$C,MATCH($A140,Booking!$A:$A,0)),"")</f>
        <v/>
      </c>
      <c r="E140" s="3" t="str">
        <f aca="false">IFERROR(INDEX(Confirmations!$C:$C,MATCH($A140,Confirmations!$A:$A,0)),"")</f>
        <v>Tarn Energy Trading</v>
      </c>
      <c r="F140" s="14" t="str">
        <f aca="false">IFERROR(INDEX(Booking!$D:$D,MATCH($A140,Booking!$A:$A,0)),"")</f>
        <v/>
      </c>
      <c r="G140" s="14" t="n">
        <f aca="false">IFERROR(INDEX(Confirmations!$D:$D,MATCH($A140,Confirmations!$A:$A,0)),"")</f>
        <v>10000000</v>
      </c>
      <c r="H140" s="15" t="str">
        <f aca="false">IFERROR(INDEX(Booking!$E:$E,MATCH($A140,Booking!$A:$A,0)),"")</f>
        <v/>
      </c>
      <c r="I140" s="15" t="n">
        <f aca="false">IFERROR(INDEX(Confirmations!$E:$E,MATCH($A140,Confirmations!$A:$A,0)),"")</f>
        <v>4.705</v>
      </c>
      <c r="J140" s="3" t="str">
        <f aca="false">IFERROR(INDEX(Booking!$F:$F,MATCH($A140,Booking!$A:$A,0)),"")</f>
        <v/>
      </c>
      <c r="K140" s="3" t="n">
        <f aca="false">IFERROR(INDEX(Confirmations!$F:$F,MATCH($A140,Confirmations!$A:$A,0)),"")</f>
        <v>3</v>
      </c>
      <c r="L140" s="3" t="str">
        <f aca="false">IF(NOT(C140),"Unconfirmed",IF(NOT(B140),"Unbooked",IF(D140&lt;&gt;E140,"Counterparty",IF(ABS(F140-G140)&gt;F140*Rules!$B$4/10000,"Notional",IF(H140&lt;&gt;I140,"Rate or price",IF(J140&lt;&gt;K140,"Value date","Matched"))))))</f>
        <v>Unbooked</v>
      </c>
      <c r="M140" s="3" t="n">
        <f aca="false">IF(B140,INDEX(Booking!$G:$G,MATCH(A140,Booking!$A:$A,0)),INDEX(Confirmations!$G:$G,MATCH(A140,Confirmations!$A:$A,0)))</f>
        <v>7</v>
      </c>
      <c r="N140" s="13" t="b">
        <f aca="false">AND(L140&lt;&gt;"Matched",M140&gt;Rules!$B$5)</f>
        <v>1</v>
      </c>
      <c r="O140" s="3" t="str">
        <f aca="false">INDEX(Rules!$B$8:$B$14,MATCH(L140,Rules!$A$8:$A$14,0))</f>
        <v>Front office: book or reject</v>
      </c>
    </row>
    <row r="141" customFormat="false" ht="15" hidden="false" customHeight="false" outlineLevel="0" collapsed="false">
      <c r="A141" s="3" t="s">
        <v>182</v>
      </c>
      <c r="B141" s="13" t="b">
        <f aca="false">ISNUMBER(MATCH(A141,Booking!$A:$A,0))</f>
        <v>1</v>
      </c>
      <c r="C141" s="13" t="b">
        <f aca="false">ISNUMBER(MATCH(A141,Confirmations!$A:$A,0))</f>
        <v>1</v>
      </c>
      <c r="D141" s="3" t="str">
        <f aca="false">IFERROR(INDEX(Booking!$C:$C,MATCH($A141,Booking!$A:$A,0)),"")</f>
        <v>Kestrel Macro Fund</v>
      </c>
      <c r="E141" s="3" t="str">
        <f aca="false">IFERROR(INDEX(Confirmations!$C:$C,MATCH($A141,Confirmations!$A:$A,0)),"")</f>
        <v>Kestrel Macro Fund</v>
      </c>
      <c r="F141" s="14" t="n">
        <f aca="false">IFERROR(INDEX(Booking!$D:$D,MATCH($A141,Booking!$A:$A,0)),"")</f>
        <v>22000000</v>
      </c>
      <c r="G141" s="14" t="n">
        <f aca="false">IFERROR(INDEX(Confirmations!$D:$D,MATCH($A141,Confirmations!$A:$A,0)),"")</f>
        <v>22000000</v>
      </c>
      <c r="H141" s="15" t="n">
        <f aca="false">IFERROR(INDEX(Booking!$E:$E,MATCH($A141,Booking!$A:$A,0)),"")</f>
        <v>2.0157</v>
      </c>
      <c r="I141" s="15" t="n">
        <f aca="false">IFERROR(INDEX(Confirmations!$E:$E,MATCH($A141,Confirmations!$A:$A,0)),"")</f>
        <v>2.0157</v>
      </c>
      <c r="J141" s="3" t="n">
        <f aca="false">IFERROR(INDEX(Booking!$F:$F,MATCH($A141,Booking!$A:$A,0)),"")</f>
        <v>1</v>
      </c>
      <c r="K141" s="3" t="n">
        <f aca="false">IFERROR(INDEX(Confirmations!$F:$F,MATCH($A141,Confirmations!$A:$A,0)),"")</f>
        <v>1</v>
      </c>
      <c r="L141" s="3" t="str">
        <f aca="false">IF(NOT(C141),"Unconfirmed",IF(NOT(B141),"Unbooked",IF(D141&lt;&gt;E141,"Counterparty",IF(ABS(F141-G141)&gt;F141*Rules!$B$4/10000,"Notional",IF(H141&lt;&gt;I141,"Rate or price",IF(J141&lt;&gt;K141,"Value date","Matched"))))))</f>
        <v>Matched</v>
      </c>
      <c r="M141" s="3" t="n">
        <f aca="false">IF(B141,INDEX(Booking!$G:$G,MATCH(A141,Booking!$A:$A,0)),INDEX(Confirmations!$G:$G,MATCH(A141,Confirmations!$A:$A,0)))</f>
        <v>3</v>
      </c>
      <c r="N141" s="13" t="b">
        <f aca="false">AND(L141&lt;&gt;"Matched",M141&gt;Rules!$B$5)</f>
        <v>0</v>
      </c>
      <c r="O141" s="3" t="str">
        <f aca="false">INDEX(Rules!$B$8:$B$14,MATCH(L141,Rules!$A$8:$A$14,0))</f>
        <v>None</v>
      </c>
    </row>
    <row r="142" customFormat="false" ht="15" hidden="false" customHeight="false" outlineLevel="0" collapsed="false">
      <c r="A142" s="3" t="s">
        <v>183</v>
      </c>
      <c r="B142" s="13" t="b">
        <f aca="false">ISNUMBER(MATCH(A142,Booking!$A:$A,0))</f>
        <v>1</v>
      </c>
      <c r="C142" s="13" t="b">
        <f aca="false">ISNUMBER(MATCH(A142,Confirmations!$A:$A,0))</f>
        <v>1</v>
      </c>
      <c r="D142" s="3" t="str">
        <f aca="false">IFERROR(INDEX(Booking!$C:$C,MATCH($A142,Booking!$A:$A,0)),"")</f>
        <v>Northbay Pension Fund</v>
      </c>
      <c r="E142" s="3" t="str">
        <f aca="false">IFERROR(INDEX(Confirmations!$C:$C,MATCH($A142,Confirmations!$A:$A,0)),"")</f>
        <v>Northbay Pension Fund</v>
      </c>
      <c r="F142" s="14" t="n">
        <f aca="false">IFERROR(INDEX(Booking!$D:$D,MATCH($A142,Booking!$A:$A,0)),"")</f>
        <v>9000000</v>
      </c>
      <c r="G142" s="14" t="n">
        <f aca="false">IFERROR(INDEX(Confirmations!$D:$D,MATCH($A142,Confirmations!$A:$A,0)),"")</f>
        <v>9000000</v>
      </c>
      <c r="H142" s="15" t="n">
        <f aca="false">IFERROR(INDEX(Booking!$E:$E,MATCH($A142,Booking!$A:$A,0)),"")</f>
        <v>3.2484</v>
      </c>
      <c r="I142" s="15" t="n">
        <f aca="false">IFERROR(INDEX(Confirmations!$E:$E,MATCH($A142,Confirmations!$A:$A,0)),"")</f>
        <v>3.2484</v>
      </c>
      <c r="J142" s="3" t="n">
        <f aca="false">IFERROR(INDEX(Booking!$F:$F,MATCH($A142,Booking!$A:$A,0)),"")</f>
        <v>2</v>
      </c>
      <c r="K142" s="3" t="n">
        <f aca="false">IFERROR(INDEX(Confirmations!$F:$F,MATCH($A142,Confirmations!$A:$A,0)),"")</f>
        <v>2</v>
      </c>
      <c r="L142" s="3" t="str">
        <f aca="false">IF(NOT(C142),"Unconfirmed",IF(NOT(B142),"Unbooked",IF(D142&lt;&gt;E142,"Counterparty",IF(ABS(F142-G142)&gt;F142*Rules!$B$4/10000,"Notional",IF(H142&lt;&gt;I142,"Rate or price",IF(J142&lt;&gt;K142,"Value date","Matched"))))))</f>
        <v>Matched</v>
      </c>
      <c r="M142" s="3" t="n">
        <f aca="false">IF(B142,INDEX(Booking!$G:$G,MATCH(A142,Booking!$A:$A,0)),INDEX(Confirmations!$G:$G,MATCH(A142,Confirmations!$A:$A,0)))</f>
        <v>0</v>
      </c>
      <c r="N142" s="13" t="b">
        <f aca="false">AND(L142&lt;&gt;"Matched",M142&gt;Rules!$B$5)</f>
        <v>0</v>
      </c>
      <c r="O142" s="3" t="str">
        <f aca="false">INDEX(Rules!$B$8:$B$14,MATCH(L142,Rules!$A$8:$A$14,0))</f>
        <v>None</v>
      </c>
    </row>
    <row r="143" customFormat="false" ht="15" hidden="false" customHeight="false" outlineLevel="0" collapsed="false">
      <c r="A143" s="3" t="s">
        <v>184</v>
      </c>
      <c r="B143" s="13" t="b">
        <f aca="false">ISNUMBER(MATCH(A143,Booking!$A:$A,0))</f>
        <v>1</v>
      </c>
      <c r="C143" s="13" t="b">
        <f aca="false">ISNUMBER(MATCH(A143,Confirmations!$A:$A,0))</f>
        <v>1</v>
      </c>
      <c r="D143" s="3" t="str">
        <f aca="false">IFERROR(INDEX(Booking!$C:$C,MATCH($A143,Booking!$A:$A,0)),"")</f>
        <v>Harbour Insurance</v>
      </c>
      <c r="E143" s="3" t="str">
        <f aca="false">IFERROR(INDEX(Confirmations!$C:$C,MATCH($A143,Confirmations!$A:$A,0)),"")</f>
        <v>Harbour Insurance</v>
      </c>
      <c r="F143" s="14" t="n">
        <f aca="false">IFERROR(INDEX(Booking!$D:$D,MATCH($A143,Booking!$A:$A,0)),"")</f>
        <v>15000000</v>
      </c>
      <c r="G143" s="14" t="n">
        <f aca="false">IFERROR(INDEX(Confirmations!$D:$D,MATCH($A143,Confirmations!$A:$A,0)),"")</f>
        <v>15000000</v>
      </c>
      <c r="H143" s="15" t="n">
        <f aca="false">IFERROR(INDEX(Booking!$E:$E,MATCH($A143,Booking!$A:$A,0)),"")</f>
        <v>1.8159</v>
      </c>
      <c r="I143" s="15" t="n">
        <f aca="false">IFERROR(INDEX(Confirmations!$E:$E,MATCH($A143,Confirmations!$A:$A,0)),"")</f>
        <v>1.8159</v>
      </c>
      <c r="J143" s="3" t="n">
        <f aca="false">IFERROR(INDEX(Booking!$F:$F,MATCH($A143,Booking!$A:$A,0)),"")</f>
        <v>2</v>
      </c>
      <c r="K143" s="3" t="n">
        <f aca="false">IFERROR(INDEX(Confirmations!$F:$F,MATCH($A143,Confirmations!$A:$A,0)),"")</f>
        <v>2</v>
      </c>
      <c r="L143" s="3" t="str">
        <f aca="false">IF(NOT(C143),"Unconfirmed",IF(NOT(B143),"Unbooked",IF(D143&lt;&gt;E143,"Counterparty",IF(ABS(F143-G143)&gt;F143*Rules!$B$4/10000,"Notional",IF(H143&lt;&gt;I143,"Rate or price",IF(J143&lt;&gt;K143,"Value date","Matched"))))))</f>
        <v>Matched</v>
      </c>
      <c r="M143" s="3" t="n">
        <f aca="false">IF(B143,INDEX(Booking!$G:$G,MATCH(A143,Booking!$A:$A,0)),INDEX(Confirmations!$G:$G,MATCH(A143,Confirmations!$A:$A,0)))</f>
        <v>4</v>
      </c>
      <c r="N143" s="13" t="b">
        <f aca="false">AND(L143&lt;&gt;"Matched",M143&gt;Rules!$B$5)</f>
        <v>0</v>
      </c>
      <c r="O143" s="3" t="str">
        <f aca="false">INDEX(Rules!$B$8:$B$14,MATCH(L143,Rules!$A$8:$A$14,0))</f>
        <v>None</v>
      </c>
    </row>
    <row r="144" customFormat="false" ht="15" hidden="false" customHeight="false" outlineLevel="0" collapsed="false">
      <c r="A144" s="3" t="s">
        <v>185</v>
      </c>
      <c r="B144" s="13" t="b">
        <f aca="false">ISNUMBER(MATCH(A144,Booking!$A:$A,0))</f>
        <v>1</v>
      </c>
      <c r="C144" s="13" t="b">
        <f aca="false">ISNUMBER(MATCH(A144,Confirmations!$A:$A,0))</f>
        <v>1</v>
      </c>
      <c r="D144" s="3" t="str">
        <f aca="false">IFERROR(INDEX(Booking!$C:$C,MATCH($A144,Booking!$A:$A,0)),"")</f>
        <v>Harbour Insurance</v>
      </c>
      <c r="E144" s="3" t="str">
        <f aca="false">IFERROR(INDEX(Confirmations!$C:$C,MATCH($A144,Confirmations!$A:$A,0)),"")</f>
        <v>Harbour Insurance</v>
      </c>
      <c r="F144" s="14" t="n">
        <f aca="false">IFERROR(INDEX(Booking!$D:$D,MATCH($A144,Booking!$A:$A,0)),"")</f>
        <v>6000000</v>
      </c>
      <c r="G144" s="14" t="n">
        <f aca="false">IFERROR(INDEX(Confirmations!$D:$D,MATCH($A144,Confirmations!$A:$A,0)),"")</f>
        <v>6000000</v>
      </c>
      <c r="H144" s="15" t="n">
        <f aca="false">IFERROR(INDEX(Booking!$E:$E,MATCH($A144,Booking!$A:$A,0)),"")</f>
        <v>1.4524</v>
      </c>
      <c r="I144" s="15" t="n">
        <f aca="false">IFERROR(INDEX(Confirmations!$E:$E,MATCH($A144,Confirmations!$A:$A,0)),"")</f>
        <v>1.4524</v>
      </c>
      <c r="J144" s="3" t="n">
        <f aca="false">IFERROR(INDEX(Booking!$F:$F,MATCH($A144,Booking!$A:$A,0)),"")</f>
        <v>1</v>
      </c>
      <c r="K144" s="3" t="n">
        <f aca="false">IFERROR(INDEX(Confirmations!$F:$F,MATCH($A144,Confirmations!$A:$A,0)),"")</f>
        <v>1</v>
      </c>
      <c r="L144" s="3" t="str">
        <f aca="false">IF(NOT(C144),"Unconfirmed",IF(NOT(B144),"Unbooked",IF(D144&lt;&gt;E144,"Counterparty",IF(ABS(F144-G144)&gt;F144*Rules!$B$4/10000,"Notional",IF(H144&lt;&gt;I144,"Rate or price",IF(J144&lt;&gt;K144,"Value date","Matched"))))))</f>
        <v>Matched</v>
      </c>
      <c r="M144" s="3" t="n">
        <f aca="false">IF(B144,INDEX(Booking!$G:$G,MATCH(A144,Booking!$A:$A,0)),INDEX(Confirmations!$G:$G,MATCH(A144,Confirmations!$A:$A,0)))</f>
        <v>1</v>
      </c>
      <c r="N144" s="13" t="b">
        <f aca="false">AND(L144&lt;&gt;"Matched",M144&gt;Rules!$B$5)</f>
        <v>0</v>
      </c>
      <c r="O144" s="3" t="str">
        <f aca="false">INDEX(Rules!$B$8:$B$14,MATCH(L144,Rules!$A$8:$A$14,0))</f>
        <v>None</v>
      </c>
    </row>
    <row r="145" customFormat="false" ht="15" hidden="false" customHeight="false" outlineLevel="0" collapsed="false">
      <c r="A145" s="3" t="s">
        <v>186</v>
      </c>
      <c r="B145" s="13" t="b">
        <f aca="false">ISNUMBER(MATCH(A145,Booking!$A:$A,0))</f>
        <v>1</v>
      </c>
      <c r="C145" s="13" t="b">
        <f aca="false">ISNUMBER(MATCH(A145,Confirmations!$A:$A,0))</f>
        <v>1</v>
      </c>
      <c r="D145" s="3" t="str">
        <f aca="false">IFERROR(INDEX(Booking!$C:$C,MATCH($A145,Booking!$A:$A,0)),"")</f>
        <v>Aldridge Capital</v>
      </c>
      <c r="E145" s="3" t="str">
        <f aca="false">IFERROR(INDEX(Confirmations!$C:$C,MATCH($A145,Confirmations!$A:$A,0)),"")</f>
        <v>Aldridge Capital</v>
      </c>
      <c r="F145" s="14" t="n">
        <f aca="false">IFERROR(INDEX(Booking!$D:$D,MATCH($A145,Booking!$A:$A,0)),"")</f>
        <v>10000000</v>
      </c>
      <c r="G145" s="14" t="n">
        <f aca="false">IFERROR(INDEX(Confirmations!$D:$D,MATCH($A145,Confirmations!$A:$A,0)),"")</f>
        <v>10000000</v>
      </c>
      <c r="H145" s="15" t="n">
        <f aca="false">IFERROR(INDEX(Booking!$E:$E,MATCH($A145,Booking!$A:$A,0)),"")</f>
        <v>5.0302</v>
      </c>
      <c r="I145" s="15" t="n">
        <f aca="false">IFERROR(INDEX(Confirmations!$E:$E,MATCH($A145,Confirmations!$A:$A,0)),"")</f>
        <v>5.0302</v>
      </c>
      <c r="J145" s="3" t="n">
        <f aca="false">IFERROR(INDEX(Booking!$F:$F,MATCH($A145,Booking!$A:$A,0)),"")</f>
        <v>3</v>
      </c>
      <c r="K145" s="3" t="n">
        <f aca="false">IFERROR(INDEX(Confirmations!$F:$F,MATCH($A145,Confirmations!$A:$A,0)),"")</f>
        <v>3</v>
      </c>
      <c r="L145" s="3" t="str">
        <f aca="false">IF(NOT(C145),"Unconfirmed",IF(NOT(B145),"Unbooked",IF(D145&lt;&gt;E145,"Counterparty",IF(ABS(F145-G145)&gt;F145*Rules!$B$4/10000,"Notional",IF(H145&lt;&gt;I145,"Rate or price",IF(J145&lt;&gt;K145,"Value date","Matched"))))))</f>
        <v>Matched</v>
      </c>
      <c r="M145" s="3" t="n">
        <f aca="false">IF(B145,INDEX(Booking!$G:$G,MATCH(A145,Booking!$A:$A,0)),INDEX(Confirmations!$G:$G,MATCH(A145,Confirmations!$A:$A,0)))</f>
        <v>3</v>
      </c>
      <c r="N145" s="13" t="b">
        <f aca="false">AND(L145&lt;&gt;"Matched",M145&gt;Rules!$B$5)</f>
        <v>0</v>
      </c>
      <c r="O145" s="3" t="str">
        <f aca="false">INDEX(Rules!$B$8:$B$14,MATCH(L145,Rules!$A$8:$A$14,0))</f>
        <v>None</v>
      </c>
    </row>
    <row r="146" customFormat="false" ht="15" hidden="false" customHeight="false" outlineLevel="0" collapsed="false">
      <c r="A146" s="3" t="s">
        <v>187</v>
      </c>
      <c r="B146" s="13" t="b">
        <f aca="false">ISNUMBER(MATCH(A146,Booking!$A:$A,0))</f>
        <v>1</v>
      </c>
      <c r="C146" s="13" t="b">
        <f aca="false">ISNUMBER(MATCH(A146,Confirmations!$A:$A,0))</f>
        <v>1</v>
      </c>
      <c r="D146" s="3" t="str">
        <f aca="false">IFERROR(INDEX(Booking!$C:$C,MATCH($A146,Booking!$A:$A,0)),"")</f>
        <v>Vale Corporate Treasury</v>
      </c>
      <c r="E146" s="3" t="str">
        <f aca="false">IFERROR(INDEX(Confirmations!$C:$C,MATCH($A146,Confirmations!$A:$A,0)),"")</f>
        <v>Vale Corporate Treasury</v>
      </c>
      <c r="F146" s="14" t="n">
        <f aca="false">IFERROR(INDEX(Booking!$D:$D,MATCH($A146,Booking!$A:$A,0)),"")</f>
        <v>47000000</v>
      </c>
      <c r="G146" s="14" t="n">
        <f aca="false">IFERROR(INDEX(Confirmations!$D:$D,MATCH($A146,Confirmations!$A:$A,0)),"")</f>
        <v>47000000</v>
      </c>
      <c r="H146" s="15" t="n">
        <f aca="false">IFERROR(INDEX(Booking!$E:$E,MATCH($A146,Booking!$A:$A,0)),"")</f>
        <v>3.1387</v>
      </c>
      <c r="I146" s="15" t="n">
        <f aca="false">IFERROR(INDEX(Confirmations!$E:$E,MATCH($A146,Confirmations!$A:$A,0)),"")</f>
        <v>3.1387</v>
      </c>
      <c r="J146" s="3" t="n">
        <f aca="false">IFERROR(INDEX(Booking!$F:$F,MATCH($A146,Booking!$A:$A,0)),"")</f>
        <v>2</v>
      </c>
      <c r="K146" s="3" t="n">
        <f aca="false">IFERROR(INDEX(Confirmations!$F:$F,MATCH($A146,Confirmations!$A:$A,0)),"")</f>
        <v>2</v>
      </c>
      <c r="L146" s="3" t="str">
        <f aca="false">IF(NOT(C146),"Unconfirmed",IF(NOT(B146),"Unbooked",IF(D146&lt;&gt;E146,"Counterparty",IF(ABS(F146-G146)&gt;F146*Rules!$B$4/10000,"Notional",IF(H146&lt;&gt;I146,"Rate or price",IF(J146&lt;&gt;K146,"Value date","Matched"))))))</f>
        <v>Matched</v>
      </c>
      <c r="M146" s="3" t="n">
        <f aca="false">IF(B146,INDEX(Booking!$G:$G,MATCH(A146,Booking!$A:$A,0)),INDEX(Confirmations!$G:$G,MATCH(A146,Confirmations!$A:$A,0)))</f>
        <v>3</v>
      </c>
      <c r="N146" s="13" t="b">
        <f aca="false">AND(L146&lt;&gt;"Matched",M146&gt;Rules!$B$5)</f>
        <v>0</v>
      </c>
      <c r="O146" s="3" t="str">
        <f aca="false">INDEX(Rules!$B$8:$B$14,MATCH(L146,Rules!$A$8:$A$14,0))</f>
        <v>None</v>
      </c>
    </row>
    <row r="147" customFormat="false" ht="15" hidden="false" customHeight="false" outlineLevel="0" collapsed="false">
      <c r="A147" s="3" t="s">
        <v>188</v>
      </c>
      <c r="B147" s="13" t="b">
        <f aca="false">ISNUMBER(MATCH(A147,Booking!$A:$A,0))</f>
        <v>1</v>
      </c>
      <c r="C147" s="13" t="b">
        <f aca="false">ISNUMBER(MATCH(A147,Confirmations!$A:$A,0))</f>
        <v>1</v>
      </c>
      <c r="D147" s="3" t="str">
        <f aca="false">IFERROR(INDEX(Booking!$C:$C,MATCH($A147,Booking!$A:$A,0)),"")</f>
        <v>Kestrel Macro Fund</v>
      </c>
      <c r="E147" s="3" t="str">
        <f aca="false">IFERROR(INDEX(Confirmations!$C:$C,MATCH($A147,Confirmations!$A:$A,0)),"")</f>
        <v>Kestrel Macro Fund</v>
      </c>
      <c r="F147" s="14" t="n">
        <f aca="false">IFERROR(INDEX(Booking!$D:$D,MATCH($A147,Booking!$A:$A,0)),"")</f>
        <v>5000000</v>
      </c>
      <c r="G147" s="14" t="n">
        <f aca="false">IFERROR(INDEX(Confirmations!$D:$D,MATCH($A147,Confirmations!$A:$A,0)),"")</f>
        <v>5000000</v>
      </c>
      <c r="H147" s="15" t="n">
        <f aca="false">IFERROR(INDEX(Booking!$E:$E,MATCH($A147,Booking!$A:$A,0)),"")</f>
        <v>4.8623</v>
      </c>
      <c r="I147" s="15" t="n">
        <f aca="false">IFERROR(INDEX(Confirmations!$E:$E,MATCH($A147,Confirmations!$A:$A,0)),"")</f>
        <v>4.8623</v>
      </c>
      <c r="J147" s="3" t="n">
        <f aca="false">IFERROR(INDEX(Booking!$F:$F,MATCH($A147,Booking!$A:$A,0)),"")</f>
        <v>3</v>
      </c>
      <c r="K147" s="3" t="n">
        <f aca="false">IFERROR(INDEX(Confirmations!$F:$F,MATCH($A147,Confirmations!$A:$A,0)),"")</f>
        <v>3</v>
      </c>
      <c r="L147" s="3" t="str">
        <f aca="false">IF(NOT(C147),"Unconfirmed",IF(NOT(B147),"Unbooked",IF(D147&lt;&gt;E147,"Counterparty",IF(ABS(F147-G147)&gt;F147*Rules!$B$4/10000,"Notional",IF(H147&lt;&gt;I147,"Rate or price",IF(J147&lt;&gt;K147,"Value date","Matched"))))))</f>
        <v>Matched</v>
      </c>
      <c r="M147" s="3" t="n">
        <f aca="false">IF(B147,INDEX(Booking!$G:$G,MATCH(A147,Booking!$A:$A,0)),INDEX(Confirmations!$G:$G,MATCH(A147,Confirmations!$A:$A,0)))</f>
        <v>0</v>
      </c>
      <c r="N147" s="13" t="b">
        <f aca="false">AND(L147&lt;&gt;"Matched",M147&gt;Rules!$B$5)</f>
        <v>0</v>
      </c>
      <c r="O147" s="3" t="str">
        <f aca="false">INDEX(Rules!$B$8:$B$14,MATCH(L147,Rules!$A$8:$A$14,0))</f>
        <v>None</v>
      </c>
    </row>
    <row r="148" customFormat="false" ht="15" hidden="false" customHeight="false" outlineLevel="0" collapsed="false">
      <c r="A148" s="3" t="s">
        <v>189</v>
      </c>
      <c r="B148" s="13" t="b">
        <f aca="false">ISNUMBER(MATCH(A148,Booking!$A:$A,0))</f>
        <v>1</v>
      </c>
      <c r="C148" s="13" t="b">
        <f aca="false">ISNUMBER(MATCH(A148,Confirmations!$A:$A,0))</f>
        <v>1</v>
      </c>
      <c r="D148" s="3" t="str">
        <f aca="false">IFERROR(INDEX(Booking!$C:$C,MATCH($A148,Booking!$A:$A,0)),"")</f>
        <v>Northbay Pension Fund</v>
      </c>
      <c r="E148" s="3" t="str">
        <f aca="false">IFERROR(INDEX(Confirmations!$C:$C,MATCH($A148,Confirmations!$A:$A,0)),"")</f>
        <v>Northbay Pension Fund</v>
      </c>
      <c r="F148" s="14" t="n">
        <f aca="false">IFERROR(INDEX(Booking!$D:$D,MATCH($A148,Booking!$A:$A,0)),"")</f>
        <v>25000000</v>
      </c>
      <c r="G148" s="14" t="n">
        <f aca="false">IFERROR(INDEX(Confirmations!$D:$D,MATCH($A148,Confirmations!$A:$A,0)),"")</f>
        <v>25000000</v>
      </c>
      <c r="H148" s="15" t="n">
        <f aca="false">IFERROR(INDEX(Booking!$E:$E,MATCH($A148,Booking!$A:$A,0)),"")</f>
        <v>4.439</v>
      </c>
      <c r="I148" s="15" t="n">
        <f aca="false">IFERROR(INDEX(Confirmations!$E:$E,MATCH($A148,Confirmations!$A:$A,0)),"")</f>
        <v>4.439</v>
      </c>
      <c r="J148" s="3" t="n">
        <f aca="false">IFERROR(INDEX(Booking!$F:$F,MATCH($A148,Booking!$A:$A,0)),"")</f>
        <v>1</v>
      </c>
      <c r="K148" s="3" t="n">
        <f aca="false">IFERROR(INDEX(Confirmations!$F:$F,MATCH($A148,Confirmations!$A:$A,0)),"")</f>
        <v>1</v>
      </c>
      <c r="L148" s="3" t="str">
        <f aca="false">IF(NOT(C148),"Unconfirmed",IF(NOT(B148),"Unbooked",IF(D148&lt;&gt;E148,"Counterparty",IF(ABS(F148-G148)&gt;F148*Rules!$B$4/10000,"Notional",IF(H148&lt;&gt;I148,"Rate or price",IF(J148&lt;&gt;K148,"Value date","Matched"))))))</f>
        <v>Matched</v>
      </c>
      <c r="M148" s="3" t="n">
        <f aca="false">IF(B148,INDEX(Booking!$G:$G,MATCH(A148,Booking!$A:$A,0)),INDEX(Confirmations!$G:$G,MATCH(A148,Confirmations!$A:$A,0)))</f>
        <v>0</v>
      </c>
      <c r="N148" s="13" t="b">
        <f aca="false">AND(L148&lt;&gt;"Matched",M148&gt;Rules!$B$5)</f>
        <v>0</v>
      </c>
      <c r="O148" s="3" t="str">
        <f aca="false">INDEX(Rules!$B$8:$B$14,MATCH(L148,Rules!$A$8:$A$14,0))</f>
        <v>None</v>
      </c>
    </row>
    <row r="149" customFormat="false" ht="15" hidden="false" customHeight="false" outlineLevel="0" collapsed="false">
      <c r="A149" s="3" t="s">
        <v>190</v>
      </c>
      <c r="B149" s="13" t="b">
        <f aca="false">ISNUMBER(MATCH(A149,Booking!$A:$A,0))</f>
        <v>1</v>
      </c>
      <c r="C149" s="13" t="b">
        <f aca="false">ISNUMBER(MATCH(A149,Confirmations!$A:$A,0))</f>
        <v>1</v>
      </c>
      <c r="D149" s="3" t="str">
        <f aca="false">IFERROR(INDEX(Booking!$C:$C,MATCH($A149,Booking!$A:$A,0)),"")</f>
        <v>Northbay Pension Fund</v>
      </c>
      <c r="E149" s="3" t="str">
        <f aca="false">IFERROR(INDEX(Confirmations!$C:$C,MATCH($A149,Confirmations!$A:$A,0)),"")</f>
        <v>Northbay Pension Fund</v>
      </c>
      <c r="F149" s="14" t="n">
        <f aca="false">IFERROR(INDEX(Booking!$D:$D,MATCH($A149,Booking!$A:$A,0)),"")</f>
        <v>4000000</v>
      </c>
      <c r="G149" s="14" t="n">
        <f aca="false">IFERROR(INDEX(Confirmations!$D:$D,MATCH($A149,Confirmations!$A:$A,0)),"")</f>
        <v>4000000</v>
      </c>
      <c r="H149" s="15" t="n">
        <f aca="false">IFERROR(INDEX(Booking!$E:$E,MATCH($A149,Booking!$A:$A,0)),"")</f>
        <v>3.4227</v>
      </c>
      <c r="I149" s="15" t="n">
        <f aca="false">IFERROR(INDEX(Confirmations!$E:$E,MATCH($A149,Confirmations!$A:$A,0)),"")</f>
        <v>3.4227</v>
      </c>
      <c r="J149" s="3" t="n">
        <f aca="false">IFERROR(INDEX(Booking!$F:$F,MATCH($A149,Booking!$A:$A,0)),"")</f>
        <v>2</v>
      </c>
      <c r="K149" s="3" t="n">
        <f aca="false">IFERROR(INDEX(Confirmations!$F:$F,MATCH($A149,Confirmations!$A:$A,0)),"")</f>
        <v>2</v>
      </c>
      <c r="L149" s="3" t="str">
        <f aca="false">IF(NOT(C149),"Unconfirmed",IF(NOT(B149),"Unbooked",IF(D149&lt;&gt;E149,"Counterparty",IF(ABS(F149-G149)&gt;F149*Rules!$B$4/10000,"Notional",IF(H149&lt;&gt;I149,"Rate or price",IF(J149&lt;&gt;K149,"Value date","Matched"))))))</f>
        <v>Matched</v>
      </c>
      <c r="M149" s="3" t="n">
        <f aca="false">IF(B149,INDEX(Booking!$G:$G,MATCH(A149,Booking!$A:$A,0)),INDEX(Confirmations!$G:$G,MATCH(A149,Confirmations!$A:$A,0)))</f>
        <v>8</v>
      </c>
      <c r="N149" s="13" t="b">
        <f aca="false">AND(L149&lt;&gt;"Matched",M149&gt;Rules!$B$5)</f>
        <v>0</v>
      </c>
      <c r="O149" s="3" t="str">
        <f aca="false">INDEX(Rules!$B$8:$B$14,MATCH(L149,Rules!$A$8:$A$14,0))</f>
        <v>None</v>
      </c>
    </row>
    <row r="150" customFormat="false" ht="15" hidden="false" customHeight="false" outlineLevel="0" collapsed="false">
      <c r="A150" s="3" t="s">
        <v>191</v>
      </c>
      <c r="B150" s="13" t="b">
        <f aca="false">ISNUMBER(MATCH(A150,Booking!$A:$A,0))</f>
        <v>1</v>
      </c>
      <c r="C150" s="13" t="b">
        <f aca="false">ISNUMBER(MATCH(A150,Confirmations!$A:$A,0))</f>
        <v>1</v>
      </c>
      <c r="D150" s="3" t="str">
        <f aca="false">IFERROR(INDEX(Booking!$C:$C,MATCH($A150,Booking!$A:$A,0)),"")</f>
        <v>Vale Corporate Treasury</v>
      </c>
      <c r="E150" s="3" t="str">
        <f aca="false">IFERROR(INDEX(Confirmations!$C:$C,MATCH($A150,Confirmations!$A:$A,0)),"")</f>
        <v>Vale Corporate Treasury</v>
      </c>
      <c r="F150" s="14" t="n">
        <f aca="false">IFERROR(INDEX(Booking!$D:$D,MATCH($A150,Booking!$A:$A,0)),"")</f>
        <v>13000000</v>
      </c>
      <c r="G150" s="14" t="n">
        <f aca="false">IFERROR(INDEX(Confirmations!$D:$D,MATCH($A150,Confirmations!$A:$A,0)),"")</f>
        <v>13000000</v>
      </c>
      <c r="H150" s="15" t="n">
        <f aca="false">IFERROR(INDEX(Booking!$E:$E,MATCH($A150,Booking!$A:$A,0)),"")</f>
        <v>5.7683</v>
      </c>
      <c r="I150" s="15" t="n">
        <f aca="false">IFERROR(INDEX(Confirmations!$E:$E,MATCH($A150,Confirmations!$A:$A,0)),"")</f>
        <v>5.7683</v>
      </c>
      <c r="J150" s="3" t="n">
        <f aca="false">IFERROR(INDEX(Booking!$F:$F,MATCH($A150,Booking!$A:$A,0)),"")</f>
        <v>2</v>
      </c>
      <c r="K150" s="3" t="n">
        <f aca="false">IFERROR(INDEX(Confirmations!$F:$F,MATCH($A150,Confirmations!$A:$A,0)),"")</f>
        <v>2</v>
      </c>
      <c r="L150" s="3" t="str">
        <f aca="false">IF(NOT(C150),"Unconfirmed",IF(NOT(B150),"Unbooked",IF(D150&lt;&gt;E150,"Counterparty",IF(ABS(F150-G150)&gt;F150*Rules!$B$4/10000,"Notional",IF(H150&lt;&gt;I150,"Rate or price",IF(J150&lt;&gt;K150,"Value date","Matched"))))))</f>
        <v>Matched</v>
      </c>
      <c r="M150" s="3" t="n">
        <f aca="false">IF(B150,INDEX(Booking!$G:$G,MATCH(A150,Booking!$A:$A,0)),INDEX(Confirmations!$G:$G,MATCH(A150,Confirmations!$A:$A,0)))</f>
        <v>0</v>
      </c>
      <c r="N150" s="13" t="b">
        <f aca="false">AND(L150&lt;&gt;"Matched",M150&gt;Rules!$B$5)</f>
        <v>0</v>
      </c>
      <c r="O150" s="3" t="str">
        <f aca="false">INDEX(Rules!$B$8:$B$14,MATCH(L150,Rules!$A$8:$A$14,0))</f>
        <v>None</v>
      </c>
    </row>
    <row r="151" customFormat="false" ht="15" hidden="false" customHeight="false" outlineLevel="0" collapsed="false">
      <c r="A151" s="3" t="s">
        <v>192</v>
      </c>
      <c r="B151" s="13" t="b">
        <f aca="false">ISNUMBER(MATCH(A151,Booking!$A:$A,0))</f>
        <v>1</v>
      </c>
      <c r="C151" s="13" t="b">
        <f aca="false">ISNUMBER(MATCH(A151,Confirmations!$A:$A,0))</f>
        <v>1</v>
      </c>
      <c r="D151" s="3" t="str">
        <f aca="false">IFERROR(INDEX(Booking!$C:$C,MATCH($A151,Booking!$A:$A,0)),"")</f>
        <v>Solent Asset Management</v>
      </c>
      <c r="E151" s="3" t="str">
        <f aca="false">IFERROR(INDEX(Confirmations!$C:$C,MATCH($A151,Confirmations!$A:$A,0)),"")</f>
        <v>Solent Asset Management</v>
      </c>
      <c r="F151" s="14" t="n">
        <f aca="false">IFERROR(INDEX(Booking!$D:$D,MATCH($A151,Booking!$A:$A,0)),"")</f>
        <v>16000000</v>
      </c>
      <c r="G151" s="14" t="n">
        <f aca="false">IFERROR(INDEX(Confirmations!$D:$D,MATCH($A151,Confirmations!$A:$A,0)),"")</f>
        <v>16000000</v>
      </c>
      <c r="H151" s="15" t="n">
        <f aca="false">IFERROR(INDEX(Booking!$E:$E,MATCH($A151,Booking!$A:$A,0)),"")</f>
        <v>2.867</v>
      </c>
      <c r="I151" s="15" t="n">
        <f aca="false">IFERROR(INDEX(Confirmations!$E:$E,MATCH($A151,Confirmations!$A:$A,0)),"")</f>
        <v>2.867</v>
      </c>
      <c r="J151" s="3" t="n">
        <f aca="false">IFERROR(INDEX(Booking!$F:$F,MATCH($A151,Booking!$A:$A,0)),"")</f>
        <v>2</v>
      </c>
      <c r="K151" s="3" t="n">
        <f aca="false">IFERROR(INDEX(Confirmations!$F:$F,MATCH($A151,Confirmations!$A:$A,0)),"")</f>
        <v>2</v>
      </c>
      <c r="L151" s="3" t="str">
        <f aca="false">IF(NOT(C151),"Unconfirmed",IF(NOT(B151),"Unbooked",IF(D151&lt;&gt;E151,"Counterparty",IF(ABS(F151-G151)&gt;F151*Rules!$B$4/10000,"Notional",IF(H151&lt;&gt;I151,"Rate or price",IF(J151&lt;&gt;K151,"Value date","Matched"))))))</f>
        <v>Matched</v>
      </c>
      <c r="M151" s="3" t="n">
        <f aca="false">IF(B151,INDEX(Booking!$G:$G,MATCH(A151,Booking!$A:$A,0)),INDEX(Confirmations!$G:$G,MATCH(A151,Confirmations!$A:$A,0)))</f>
        <v>3</v>
      </c>
      <c r="N151" s="13" t="b">
        <f aca="false">AND(L151&lt;&gt;"Matched",M151&gt;Rules!$B$5)</f>
        <v>0</v>
      </c>
      <c r="O151" s="3" t="str">
        <f aca="false">INDEX(Rules!$B$8:$B$14,MATCH(L151,Rules!$A$8:$A$14,0))</f>
        <v>None</v>
      </c>
    </row>
    <row r="152" customFormat="false" ht="15" hidden="false" customHeight="false" outlineLevel="0" collapsed="false">
      <c r="A152" s="3" t="s">
        <v>193</v>
      </c>
      <c r="B152" s="13" t="b">
        <f aca="false">ISNUMBER(MATCH(A152,Booking!$A:$A,0))</f>
        <v>1</v>
      </c>
      <c r="C152" s="13" t="b">
        <f aca="false">ISNUMBER(MATCH(A152,Confirmations!$A:$A,0))</f>
        <v>1</v>
      </c>
      <c r="D152" s="3" t="str">
        <f aca="false">IFERROR(INDEX(Booking!$C:$C,MATCH($A152,Booking!$A:$A,0)),"")</f>
        <v>Harbour Insurance</v>
      </c>
      <c r="E152" s="3" t="str">
        <f aca="false">IFERROR(INDEX(Confirmations!$C:$C,MATCH($A152,Confirmations!$A:$A,0)),"")</f>
        <v>Harbour Insurance</v>
      </c>
      <c r="F152" s="14" t="n">
        <f aca="false">IFERROR(INDEX(Booking!$D:$D,MATCH($A152,Booking!$A:$A,0)),"")</f>
        <v>37000000</v>
      </c>
      <c r="G152" s="14" t="n">
        <f aca="false">IFERROR(INDEX(Confirmations!$D:$D,MATCH($A152,Confirmations!$A:$A,0)),"")</f>
        <v>37000000</v>
      </c>
      <c r="H152" s="15" t="n">
        <f aca="false">IFERROR(INDEX(Booking!$E:$E,MATCH($A152,Booking!$A:$A,0)),"")</f>
        <v>6.746</v>
      </c>
      <c r="I152" s="15" t="n">
        <f aca="false">IFERROR(INDEX(Confirmations!$E:$E,MATCH($A152,Confirmations!$A:$A,0)),"")</f>
        <v>6.746</v>
      </c>
      <c r="J152" s="3" t="n">
        <f aca="false">IFERROR(INDEX(Booking!$F:$F,MATCH($A152,Booking!$A:$A,0)),"")</f>
        <v>1</v>
      </c>
      <c r="K152" s="3" t="n">
        <f aca="false">IFERROR(INDEX(Confirmations!$F:$F,MATCH($A152,Confirmations!$A:$A,0)),"")</f>
        <v>1</v>
      </c>
      <c r="L152" s="3" t="str">
        <f aca="false">IF(NOT(C152),"Unconfirmed",IF(NOT(B152),"Unbooked",IF(D152&lt;&gt;E152,"Counterparty",IF(ABS(F152-G152)&gt;F152*Rules!$B$4/10000,"Notional",IF(H152&lt;&gt;I152,"Rate or price",IF(J152&lt;&gt;K152,"Value date","Matched"))))))</f>
        <v>Matched</v>
      </c>
      <c r="M152" s="3" t="n">
        <f aca="false">IF(B152,INDEX(Booking!$G:$G,MATCH(A152,Booking!$A:$A,0)),INDEX(Confirmations!$G:$G,MATCH(A152,Confirmations!$A:$A,0)))</f>
        <v>0</v>
      </c>
      <c r="N152" s="13" t="b">
        <f aca="false">AND(L152&lt;&gt;"Matched",M152&gt;Rules!$B$5)</f>
        <v>0</v>
      </c>
      <c r="O152" s="3" t="str">
        <f aca="false">INDEX(Rules!$B$8:$B$14,MATCH(L152,Rules!$A$8:$A$14,0))</f>
        <v>None</v>
      </c>
    </row>
    <row r="153" customFormat="false" ht="15" hidden="false" customHeight="false" outlineLevel="0" collapsed="false">
      <c r="A153" s="3" t="s">
        <v>194</v>
      </c>
      <c r="B153" s="13" t="b">
        <f aca="false">ISNUMBER(MATCH(A153,Booking!$A:$A,0))</f>
        <v>1</v>
      </c>
      <c r="C153" s="13" t="b">
        <f aca="false">ISNUMBER(MATCH(A153,Confirmations!$A:$A,0))</f>
        <v>1</v>
      </c>
      <c r="D153" s="3" t="str">
        <f aca="false">IFERROR(INDEX(Booking!$C:$C,MATCH($A153,Booking!$A:$A,0)),"")</f>
        <v>Solent Asset Management</v>
      </c>
      <c r="E153" s="3" t="str">
        <f aca="false">IFERROR(INDEX(Confirmations!$C:$C,MATCH($A153,Confirmations!$A:$A,0)),"")</f>
        <v>Solent Asset Management</v>
      </c>
      <c r="F153" s="14" t="n">
        <f aca="false">IFERROR(INDEX(Booking!$D:$D,MATCH($A153,Booking!$A:$A,0)),"")</f>
        <v>22000000</v>
      </c>
      <c r="G153" s="14" t="n">
        <f aca="false">IFERROR(INDEX(Confirmations!$D:$D,MATCH($A153,Confirmations!$A:$A,0)),"")</f>
        <v>22000000</v>
      </c>
      <c r="H153" s="15" t="n">
        <f aca="false">IFERROR(INDEX(Booking!$E:$E,MATCH($A153,Booking!$A:$A,0)),"")</f>
        <v>2.9938</v>
      </c>
      <c r="I153" s="15" t="n">
        <f aca="false">IFERROR(INDEX(Confirmations!$E:$E,MATCH($A153,Confirmations!$A:$A,0)),"")</f>
        <v>2.9938</v>
      </c>
      <c r="J153" s="3" t="n">
        <f aca="false">IFERROR(INDEX(Booking!$F:$F,MATCH($A153,Booking!$A:$A,0)),"")</f>
        <v>2</v>
      </c>
      <c r="K153" s="3" t="n">
        <f aca="false">IFERROR(INDEX(Confirmations!$F:$F,MATCH($A153,Confirmations!$A:$A,0)),"")</f>
        <v>2</v>
      </c>
      <c r="L153" s="3" t="str">
        <f aca="false">IF(NOT(C153),"Unconfirmed",IF(NOT(B153),"Unbooked",IF(D153&lt;&gt;E153,"Counterparty",IF(ABS(F153-G153)&gt;F153*Rules!$B$4/10000,"Notional",IF(H153&lt;&gt;I153,"Rate or price",IF(J153&lt;&gt;K153,"Value date","Matched"))))))</f>
        <v>Matched</v>
      </c>
      <c r="M153" s="3" t="n">
        <f aca="false">IF(B153,INDEX(Booking!$G:$G,MATCH(A153,Booking!$A:$A,0)),INDEX(Confirmations!$G:$G,MATCH(A153,Confirmations!$A:$A,0)))</f>
        <v>5</v>
      </c>
      <c r="N153" s="13" t="b">
        <f aca="false">AND(L153&lt;&gt;"Matched",M153&gt;Rules!$B$5)</f>
        <v>0</v>
      </c>
      <c r="O153" s="3" t="str">
        <f aca="false">INDEX(Rules!$B$8:$B$14,MATCH(L153,Rules!$A$8:$A$14,0))</f>
        <v>None</v>
      </c>
    </row>
    <row r="154" customFormat="false" ht="15" hidden="false" customHeight="false" outlineLevel="0" collapsed="false">
      <c r="A154" s="3" t="s">
        <v>195</v>
      </c>
      <c r="B154" s="13" t="b">
        <f aca="false">ISNUMBER(MATCH(A154,Booking!$A:$A,0))</f>
        <v>1</v>
      </c>
      <c r="C154" s="13" t="b">
        <f aca="false">ISNUMBER(MATCH(A154,Confirmations!$A:$A,0))</f>
        <v>1</v>
      </c>
      <c r="D154" s="3" t="str">
        <f aca="false">IFERROR(INDEX(Booking!$C:$C,MATCH($A154,Booking!$A:$A,0)),"")</f>
        <v>Tarn Energy Trading</v>
      </c>
      <c r="E154" s="3" t="str">
        <f aca="false">IFERROR(INDEX(Confirmations!$C:$C,MATCH($A154,Confirmations!$A:$A,0)),"")</f>
        <v>Tarn Energy Trading</v>
      </c>
      <c r="F154" s="14" t="n">
        <f aca="false">IFERROR(INDEX(Booking!$D:$D,MATCH($A154,Booking!$A:$A,0)),"")</f>
        <v>2000000</v>
      </c>
      <c r="G154" s="14" t="n">
        <f aca="false">IFERROR(INDEX(Confirmations!$D:$D,MATCH($A154,Confirmations!$A:$A,0)),"")</f>
        <v>2000000</v>
      </c>
      <c r="H154" s="15" t="n">
        <f aca="false">IFERROR(INDEX(Booking!$E:$E,MATCH($A154,Booking!$A:$A,0)),"")</f>
        <v>5.0331</v>
      </c>
      <c r="I154" s="15" t="n">
        <f aca="false">IFERROR(INDEX(Confirmations!$E:$E,MATCH($A154,Confirmations!$A:$A,0)),"")</f>
        <v>5.0331</v>
      </c>
      <c r="J154" s="3" t="n">
        <f aca="false">IFERROR(INDEX(Booking!$F:$F,MATCH($A154,Booking!$A:$A,0)),"")</f>
        <v>2</v>
      </c>
      <c r="K154" s="3" t="n">
        <f aca="false">IFERROR(INDEX(Confirmations!$F:$F,MATCH($A154,Confirmations!$A:$A,0)),"")</f>
        <v>2</v>
      </c>
      <c r="L154" s="3" t="str">
        <f aca="false">IF(NOT(C154),"Unconfirmed",IF(NOT(B154),"Unbooked",IF(D154&lt;&gt;E154,"Counterparty",IF(ABS(F154-G154)&gt;F154*Rules!$B$4/10000,"Notional",IF(H154&lt;&gt;I154,"Rate or price",IF(J154&lt;&gt;K154,"Value date","Matched"))))))</f>
        <v>Matched</v>
      </c>
      <c r="M154" s="3" t="n">
        <f aca="false">IF(B154,INDEX(Booking!$G:$G,MATCH(A154,Booking!$A:$A,0)),INDEX(Confirmations!$G:$G,MATCH(A154,Confirmations!$A:$A,0)))</f>
        <v>3</v>
      </c>
      <c r="N154" s="13" t="b">
        <f aca="false">AND(L154&lt;&gt;"Matched",M154&gt;Rules!$B$5)</f>
        <v>0</v>
      </c>
      <c r="O154" s="3" t="str">
        <f aca="false">INDEX(Rules!$B$8:$B$14,MATCH(L154,Rules!$A$8:$A$14,0))</f>
        <v>None</v>
      </c>
    </row>
    <row r="155" customFormat="false" ht="15" hidden="false" customHeight="false" outlineLevel="0" collapsed="false">
      <c r="A155" s="3" t="s">
        <v>196</v>
      </c>
      <c r="B155" s="13" t="b">
        <f aca="false">ISNUMBER(MATCH(A155,Booking!$A:$A,0))</f>
        <v>1</v>
      </c>
      <c r="C155" s="13" t="b">
        <f aca="false">ISNUMBER(MATCH(A155,Confirmations!$A:$A,0))</f>
        <v>1</v>
      </c>
      <c r="D155" s="3" t="str">
        <f aca="false">IFERROR(INDEX(Booking!$C:$C,MATCH($A155,Booking!$A:$A,0)),"")</f>
        <v>Vale Corporate Treasury</v>
      </c>
      <c r="E155" s="3" t="str">
        <f aca="false">IFERROR(INDEX(Confirmations!$C:$C,MATCH($A155,Confirmations!$A:$A,0)),"")</f>
        <v>Vale Corporate Treasury</v>
      </c>
      <c r="F155" s="14" t="n">
        <f aca="false">IFERROR(INDEX(Booking!$D:$D,MATCH($A155,Booking!$A:$A,0)),"")</f>
        <v>7000000</v>
      </c>
      <c r="G155" s="14" t="n">
        <f aca="false">IFERROR(INDEX(Confirmations!$D:$D,MATCH($A155,Confirmations!$A:$A,0)),"")</f>
        <v>7000000</v>
      </c>
      <c r="H155" s="15" t="n">
        <f aca="false">IFERROR(INDEX(Booking!$E:$E,MATCH($A155,Booking!$A:$A,0)),"")</f>
        <v>4.6039</v>
      </c>
      <c r="I155" s="15" t="n">
        <f aca="false">IFERROR(INDEX(Confirmations!$E:$E,MATCH($A155,Confirmations!$A:$A,0)),"")</f>
        <v>4.6039</v>
      </c>
      <c r="J155" s="3" t="n">
        <f aca="false">IFERROR(INDEX(Booking!$F:$F,MATCH($A155,Booking!$A:$A,0)),"")</f>
        <v>3</v>
      </c>
      <c r="K155" s="3" t="n">
        <f aca="false">IFERROR(INDEX(Confirmations!$F:$F,MATCH($A155,Confirmations!$A:$A,0)),"")</f>
        <v>3</v>
      </c>
      <c r="L155" s="3" t="str">
        <f aca="false">IF(NOT(C155),"Unconfirmed",IF(NOT(B155),"Unbooked",IF(D155&lt;&gt;E155,"Counterparty",IF(ABS(F155-G155)&gt;F155*Rules!$B$4/10000,"Notional",IF(H155&lt;&gt;I155,"Rate or price",IF(J155&lt;&gt;K155,"Value date","Matched"))))))</f>
        <v>Matched</v>
      </c>
      <c r="M155" s="3" t="n">
        <f aca="false">IF(B155,INDEX(Booking!$G:$G,MATCH(A155,Booking!$A:$A,0)),INDEX(Confirmations!$G:$G,MATCH(A155,Confirmations!$A:$A,0)))</f>
        <v>0</v>
      </c>
      <c r="N155" s="13" t="b">
        <f aca="false">AND(L155&lt;&gt;"Matched",M155&gt;Rules!$B$5)</f>
        <v>0</v>
      </c>
      <c r="O155" s="3" t="str">
        <f aca="false">INDEX(Rules!$B$8:$B$14,MATCH(L155,Rules!$A$8:$A$14,0))</f>
        <v>None</v>
      </c>
    </row>
    <row r="156" customFormat="false" ht="15" hidden="false" customHeight="false" outlineLevel="0" collapsed="false">
      <c r="A156" s="3" t="s">
        <v>197</v>
      </c>
      <c r="B156" s="13" t="b">
        <f aca="false">ISNUMBER(MATCH(A156,Booking!$A:$A,0))</f>
        <v>1</v>
      </c>
      <c r="C156" s="13" t="b">
        <f aca="false">ISNUMBER(MATCH(A156,Confirmations!$A:$A,0))</f>
        <v>1</v>
      </c>
      <c r="D156" s="3" t="str">
        <f aca="false">IFERROR(INDEX(Booking!$C:$C,MATCH($A156,Booking!$A:$A,0)),"")</f>
        <v>Solent Asset Management</v>
      </c>
      <c r="E156" s="3" t="str">
        <f aca="false">IFERROR(INDEX(Confirmations!$C:$C,MATCH($A156,Confirmations!$A:$A,0)),"")</f>
        <v>Solent Asset Management</v>
      </c>
      <c r="F156" s="14" t="n">
        <f aca="false">IFERROR(INDEX(Booking!$D:$D,MATCH($A156,Booking!$A:$A,0)),"")</f>
        <v>36000000</v>
      </c>
      <c r="G156" s="14" t="n">
        <f aca="false">IFERROR(INDEX(Confirmations!$D:$D,MATCH($A156,Confirmations!$A:$A,0)),"")</f>
        <v>36000000</v>
      </c>
      <c r="H156" s="15" t="n">
        <f aca="false">IFERROR(INDEX(Booking!$E:$E,MATCH($A156,Booking!$A:$A,0)),"")</f>
        <v>1.5221</v>
      </c>
      <c r="I156" s="15" t="n">
        <f aca="false">IFERROR(INDEX(Confirmations!$E:$E,MATCH($A156,Confirmations!$A:$A,0)),"")</f>
        <v>1.5221</v>
      </c>
      <c r="J156" s="3" t="n">
        <f aca="false">IFERROR(INDEX(Booking!$F:$F,MATCH($A156,Booking!$A:$A,0)),"")</f>
        <v>3</v>
      </c>
      <c r="K156" s="3" t="n">
        <f aca="false">IFERROR(INDEX(Confirmations!$F:$F,MATCH($A156,Confirmations!$A:$A,0)),"")</f>
        <v>3</v>
      </c>
      <c r="L156" s="3" t="str">
        <f aca="false">IF(NOT(C156),"Unconfirmed",IF(NOT(B156),"Unbooked",IF(D156&lt;&gt;E156,"Counterparty",IF(ABS(F156-G156)&gt;F156*Rules!$B$4/10000,"Notional",IF(H156&lt;&gt;I156,"Rate or price",IF(J156&lt;&gt;K156,"Value date","Matched"))))))</f>
        <v>Matched</v>
      </c>
      <c r="M156" s="3" t="n">
        <f aca="false">IF(B156,INDEX(Booking!$G:$G,MATCH(A156,Booking!$A:$A,0)),INDEX(Confirmations!$G:$G,MATCH(A156,Confirmations!$A:$A,0)))</f>
        <v>1</v>
      </c>
      <c r="N156" s="13" t="b">
        <f aca="false">AND(L156&lt;&gt;"Matched",M156&gt;Rules!$B$5)</f>
        <v>0</v>
      </c>
      <c r="O156" s="3" t="str">
        <f aca="false">INDEX(Rules!$B$8:$B$14,MATCH(L156,Rules!$A$8:$A$14,0))</f>
        <v>None</v>
      </c>
    </row>
    <row r="157" customFormat="false" ht="15" hidden="false" customHeight="false" outlineLevel="0" collapsed="false">
      <c r="A157" s="3" t="s">
        <v>198</v>
      </c>
      <c r="B157" s="13" t="b">
        <f aca="false">ISNUMBER(MATCH(A157,Booking!$A:$A,0))</f>
        <v>1</v>
      </c>
      <c r="C157" s="13" t="b">
        <f aca="false">ISNUMBER(MATCH(A157,Confirmations!$A:$A,0))</f>
        <v>1</v>
      </c>
      <c r="D157" s="3" t="str">
        <f aca="false">IFERROR(INDEX(Booking!$C:$C,MATCH($A157,Booking!$A:$A,0)),"")</f>
        <v>Harbour Insurance</v>
      </c>
      <c r="E157" s="3" t="str">
        <f aca="false">IFERROR(INDEX(Confirmations!$C:$C,MATCH($A157,Confirmations!$A:$A,0)),"")</f>
        <v>Harbour Insurance</v>
      </c>
      <c r="F157" s="14" t="n">
        <f aca="false">IFERROR(INDEX(Booking!$D:$D,MATCH($A157,Booking!$A:$A,0)),"")</f>
        <v>21000000</v>
      </c>
      <c r="G157" s="14" t="n">
        <f aca="false">IFERROR(INDEX(Confirmations!$D:$D,MATCH($A157,Confirmations!$A:$A,0)),"")</f>
        <v>21000000</v>
      </c>
      <c r="H157" s="15" t="n">
        <f aca="false">IFERROR(INDEX(Booking!$E:$E,MATCH($A157,Booking!$A:$A,0)),"")</f>
        <v>4.6525</v>
      </c>
      <c r="I157" s="15" t="n">
        <f aca="false">IFERROR(INDEX(Confirmations!$E:$E,MATCH($A157,Confirmations!$A:$A,0)),"")</f>
        <v>4.6525</v>
      </c>
      <c r="J157" s="3" t="n">
        <f aca="false">IFERROR(INDEX(Booking!$F:$F,MATCH($A157,Booking!$A:$A,0)),"")</f>
        <v>3</v>
      </c>
      <c r="K157" s="3" t="n">
        <f aca="false">IFERROR(INDEX(Confirmations!$F:$F,MATCH($A157,Confirmations!$A:$A,0)),"")</f>
        <v>3</v>
      </c>
      <c r="L157" s="3" t="str">
        <f aca="false">IF(NOT(C157),"Unconfirmed",IF(NOT(B157),"Unbooked",IF(D157&lt;&gt;E157,"Counterparty",IF(ABS(F157-G157)&gt;F157*Rules!$B$4/10000,"Notional",IF(H157&lt;&gt;I157,"Rate or price",IF(J157&lt;&gt;K157,"Value date","Matched"))))))</f>
        <v>Matched</v>
      </c>
      <c r="M157" s="3" t="n">
        <f aca="false">IF(B157,INDEX(Booking!$G:$G,MATCH(A157,Booking!$A:$A,0)),INDEX(Confirmations!$G:$G,MATCH(A157,Confirmations!$A:$A,0)))</f>
        <v>0</v>
      </c>
      <c r="N157" s="13" t="b">
        <f aca="false">AND(L157&lt;&gt;"Matched",M157&gt;Rules!$B$5)</f>
        <v>0</v>
      </c>
      <c r="O157" s="3" t="str">
        <f aca="false">INDEX(Rules!$B$8:$B$14,MATCH(L157,Rules!$A$8:$A$14,0))</f>
        <v>None</v>
      </c>
    </row>
    <row r="158" customFormat="false" ht="15" hidden="false" customHeight="false" outlineLevel="0" collapsed="false">
      <c r="A158" s="3" t="s">
        <v>199</v>
      </c>
      <c r="B158" s="13" t="b">
        <f aca="false">ISNUMBER(MATCH(A158,Booking!$A:$A,0))</f>
        <v>1</v>
      </c>
      <c r="C158" s="13" t="b">
        <f aca="false">ISNUMBER(MATCH(A158,Confirmations!$A:$A,0))</f>
        <v>1</v>
      </c>
      <c r="D158" s="3" t="str">
        <f aca="false">IFERROR(INDEX(Booking!$C:$C,MATCH($A158,Booking!$A:$A,0)),"")</f>
        <v>Kestrel Macro Fund</v>
      </c>
      <c r="E158" s="3" t="str">
        <f aca="false">IFERROR(INDEX(Confirmations!$C:$C,MATCH($A158,Confirmations!$A:$A,0)),"")</f>
        <v>Kestrel Macro Fund</v>
      </c>
      <c r="F158" s="14" t="n">
        <f aca="false">IFERROR(INDEX(Booking!$D:$D,MATCH($A158,Booking!$A:$A,0)),"")</f>
        <v>26000000</v>
      </c>
      <c r="G158" s="14" t="n">
        <f aca="false">IFERROR(INDEX(Confirmations!$D:$D,MATCH($A158,Confirmations!$A:$A,0)),"")</f>
        <v>26000000</v>
      </c>
      <c r="H158" s="15" t="n">
        <f aca="false">IFERROR(INDEX(Booking!$E:$E,MATCH($A158,Booking!$A:$A,0)),"")</f>
        <v>4.7055</v>
      </c>
      <c r="I158" s="15" t="n">
        <f aca="false">IFERROR(INDEX(Confirmations!$E:$E,MATCH($A158,Confirmations!$A:$A,0)),"")</f>
        <v>4.7055</v>
      </c>
      <c r="J158" s="3" t="n">
        <f aca="false">IFERROR(INDEX(Booking!$F:$F,MATCH($A158,Booking!$A:$A,0)),"")</f>
        <v>2</v>
      </c>
      <c r="K158" s="3" t="n">
        <f aca="false">IFERROR(INDEX(Confirmations!$F:$F,MATCH($A158,Confirmations!$A:$A,0)),"")</f>
        <v>2</v>
      </c>
      <c r="L158" s="3" t="str">
        <f aca="false">IF(NOT(C158),"Unconfirmed",IF(NOT(B158),"Unbooked",IF(D158&lt;&gt;E158,"Counterparty",IF(ABS(F158-G158)&gt;F158*Rules!$B$4/10000,"Notional",IF(H158&lt;&gt;I158,"Rate or price",IF(J158&lt;&gt;K158,"Value date","Matched"))))))</f>
        <v>Matched</v>
      </c>
      <c r="M158" s="3" t="n">
        <f aca="false">IF(B158,INDEX(Booking!$G:$G,MATCH(A158,Booking!$A:$A,0)),INDEX(Confirmations!$G:$G,MATCH(A158,Confirmations!$A:$A,0)))</f>
        <v>0</v>
      </c>
      <c r="N158" s="13" t="b">
        <f aca="false">AND(L158&lt;&gt;"Matched",M158&gt;Rules!$B$5)</f>
        <v>0</v>
      </c>
      <c r="O158" s="3" t="str">
        <f aca="false">INDEX(Rules!$B$8:$B$14,MATCH(L158,Rules!$A$8:$A$14,0))</f>
        <v>None</v>
      </c>
    </row>
    <row r="159" customFormat="false" ht="15" hidden="false" customHeight="false" outlineLevel="0" collapsed="false">
      <c r="A159" s="3" t="s">
        <v>200</v>
      </c>
      <c r="B159" s="13" t="b">
        <f aca="false">ISNUMBER(MATCH(A159,Booking!$A:$A,0))</f>
        <v>1</v>
      </c>
      <c r="C159" s="13" t="b">
        <f aca="false">ISNUMBER(MATCH(A159,Confirmations!$A:$A,0))</f>
        <v>1</v>
      </c>
      <c r="D159" s="3" t="str">
        <f aca="false">IFERROR(INDEX(Booking!$C:$C,MATCH($A159,Booking!$A:$A,0)),"")</f>
        <v>Vale Corporate Treasury</v>
      </c>
      <c r="E159" s="3" t="str">
        <f aca="false">IFERROR(INDEX(Confirmations!$C:$C,MATCH($A159,Confirmations!$A:$A,0)),"")</f>
        <v>Vale Corporate Treasury</v>
      </c>
      <c r="F159" s="14" t="n">
        <f aca="false">IFERROR(INDEX(Booking!$D:$D,MATCH($A159,Booking!$A:$A,0)),"")</f>
        <v>37000000</v>
      </c>
      <c r="G159" s="14" t="n">
        <f aca="false">IFERROR(INDEX(Confirmations!$D:$D,MATCH($A159,Confirmations!$A:$A,0)),"")</f>
        <v>37000000</v>
      </c>
      <c r="H159" s="15" t="n">
        <f aca="false">IFERROR(INDEX(Booking!$E:$E,MATCH($A159,Booking!$A:$A,0)),"")</f>
        <v>4.0386</v>
      </c>
      <c r="I159" s="15" t="n">
        <f aca="false">IFERROR(INDEX(Confirmations!$E:$E,MATCH($A159,Confirmations!$A:$A,0)),"")</f>
        <v>4.0386</v>
      </c>
      <c r="J159" s="3" t="n">
        <f aca="false">IFERROR(INDEX(Booking!$F:$F,MATCH($A159,Booking!$A:$A,0)),"")</f>
        <v>3</v>
      </c>
      <c r="K159" s="3" t="n">
        <f aca="false">IFERROR(INDEX(Confirmations!$F:$F,MATCH($A159,Confirmations!$A:$A,0)),"")</f>
        <v>3</v>
      </c>
      <c r="L159" s="3" t="str">
        <f aca="false">IF(NOT(C159),"Unconfirmed",IF(NOT(B159),"Unbooked",IF(D159&lt;&gt;E159,"Counterparty",IF(ABS(F159-G159)&gt;F159*Rules!$B$4/10000,"Notional",IF(H159&lt;&gt;I159,"Rate or price",IF(J159&lt;&gt;K159,"Value date","Matched"))))))</f>
        <v>Matched</v>
      </c>
      <c r="M159" s="3" t="n">
        <f aca="false">IF(B159,INDEX(Booking!$G:$G,MATCH(A159,Booking!$A:$A,0)),INDEX(Confirmations!$G:$G,MATCH(A159,Confirmations!$A:$A,0)))</f>
        <v>0</v>
      </c>
      <c r="N159" s="13" t="b">
        <f aca="false">AND(L159&lt;&gt;"Matched",M159&gt;Rules!$B$5)</f>
        <v>0</v>
      </c>
      <c r="O159" s="3" t="str">
        <f aca="false">INDEX(Rules!$B$8:$B$14,MATCH(L159,Rules!$A$8:$A$14,0))</f>
        <v>None</v>
      </c>
    </row>
    <row r="160" customFormat="false" ht="15" hidden="false" customHeight="false" outlineLevel="0" collapsed="false">
      <c r="A160" s="3" t="s">
        <v>201</v>
      </c>
      <c r="B160" s="13" t="b">
        <f aca="false">ISNUMBER(MATCH(A160,Booking!$A:$A,0))</f>
        <v>1</v>
      </c>
      <c r="C160" s="13" t="b">
        <f aca="false">ISNUMBER(MATCH(A160,Confirmations!$A:$A,0))</f>
        <v>1</v>
      </c>
      <c r="D160" s="3" t="str">
        <f aca="false">IFERROR(INDEX(Booking!$C:$C,MATCH($A160,Booking!$A:$A,0)),"")</f>
        <v>Tarn Energy Trading</v>
      </c>
      <c r="E160" s="3" t="str">
        <f aca="false">IFERROR(INDEX(Confirmations!$C:$C,MATCH($A160,Confirmations!$A:$A,0)),"")</f>
        <v>Tarn Energy Trading</v>
      </c>
      <c r="F160" s="14" t="n">
        <f aca="false">IFERROR(INDEX(Booking!$D:$D,MATCH($A160,Booking!$A:$A,0)),"")</f>
        <v>21000000</v>
      </c>
      <c r="G160" s="14" t="n">
        <f aca="false">IFERROR(INDEX(Confirmations!$D:$D,MATCH($A160,Confirmations!$A:$A,0)),"")</f>
        <v>21000000</v>
      </c>
      <c r="H160" s="15" t="n">
        <f aca="false">IFERROR(INDEX(Booking!$E:$E,MATCH($A160,Booking!$A:$A,0)),"")</f>
        <v>3.3768</v>
      </c>
      <c r="I160" s="15" t="n">
        <f aca="false">IFERROR(INDEX(Confirmations!$E:$E,MATCH($A160,Confirmations!$A:$A,0)),"")</f>
        <v>3.3768</v>
      </c>
      <c r="J160" s="3" t="n">
        <f aca="false">IFERROR(INDEX(Booking!$F:$F,MATCH($A160,Booking!$A:$A,0)),"")</f>
        <v>3</v>
      </c>
      <c r="K160" s="3" t="n">
        <f aca="false">IFERROR(INDEX(Confirmations!$F:$F,MATCH($A160,Confirmations!$A:$A,0)),"")</f>
        <v>3</v>
      </c>
      <c r="L160" s="3" t="str">
        <f aca="false">IF(NOT(C160),"Unconfirmed",IF(NOT(B160),"Unbooked",IF(D160&lt;&gt;E160,"Counterparty",IF(ABS(F160-G160)&gt;F160*Rules!$B$4/10000,"Notional",IF(H160&lt;&gt;I160,"Rate or price",IF(J160&lt;&gt;K160,"Value date","Matched"))))))</f>
        <v>Matched</v>
      </c>
      <c r="M160" s="3" t="n">
        <f aca="false">IF(B160,INDEX(Booking!$G:$G,MATCH(A160,Booking!$A:$A,0)),INDEX(Confirmations!$G:$G,MATCH(A160,Confirmations!$A:$A,0)))</f>
        <v>0</v>
      </c>
      <c r="N160" s="13" t="b">
        <f aca="false">AND(L160&lt;&gt;"Matched",M160&gt;Rules!$B$5)</f>
        <v>0</v>
      </c>
      <c r="O160" s="3" t="str">
        <f aca="false">INDEX(Rules!$B$8:$B$14,MATCH(L160,Rules!$A$8:$A$14,0))</f>
        <v>None</v>
      </c>
    </row>
    <row r="161" customFormat="false" ht="15" hidden="false" customHeight="false" outlineLevel="0" collapsed="false">
      <c r="A161" s="3" t="s">
        <v>202</v>
      </c>
      <c r="B161" s="13" t="b">
        <f aca="false">ISNUMBER(MATCH(A161,Booking!$A:$A,0))</f>
        <v>1</v>
      </c>
      <c r="C161" s="13" t="b">
        <f aca="false">ISNUMBER(MATCH(A161,Confirmations!$A:$A,0))</f>
        <v>1</v>
      </c>
      <c r="D161" s="3" t="str">
        <f aca="false">IFERROR(INDEX(Booking!$C:$C,MATCH($A161,Booking!$A:$A,0)),"")</f>
        <v>Kestrel Macro Fund</v>
      </c>
      <c r="E161" s="3" t="str">
        <f aca="false">IFERROR(INDEX(Confirmations!$C:$C,MATCH($A161,Confirmations!$A:$A,0)),"")</f>
        <v>Kestrel Macro Fund</v>
      </c>
      <c r="F161" s="14" t="n">
        <f aca="false">IFERROR(INDEX(Booking!$D:$D,MATCH($A161,Booking!$A:$A,0)),"")</f>
        <v>27000000</v>
      </c>
      <c r="G161" s="14" t="n">
        <f aca="false">IFERROR(INDEX(Confirmations!$D:$D,MATCH($A161,Confirmations!$A:$A,0)),"")</f>
        <v>27000000</v>
      </c>
      <c r="H161" s="15" t="n">
        <f aca="false">IFERROR(INDEX(Booking!$E:$E,MATCH($A161,Booking!$A:$A,0)),"")</f>
        <v>4.4255</v>
      </c>
      <c r="I161" s="15" t="n">
        <f aca="false">IFERROR(INDEX(Confirmations!$E:$E,MATCH($A161,Confirmations!$A:$A,0)),"")</f>
        <v>4.4255</v>
      </c>
      <c r="J161" s="3" t="n">
        <f aca="false">IFERROR(INDEX(Booking!$F:$F,MATCH($A161,Booking!$A:$A,0)),"")</f>
        <v>3</v>
      </c>
      <c r="K161" s="3" t="n">
        <f aca="false">IFERROR(INDEX(Confirmations!$F:$F,MATCH($A161,Confirmations!$A:$A,0)),"")</f>
        <v>3</v>
      </c>
      <c r="L161" s="3" t="str">
        <f aca="false">IF(NOT(C161),"Unconfirmed",IF(NOT(B161),"Unbooked",IF(D161&lt;&gt;E161,"Counterparty",IF(ABS(F161-G161)&gt;F161*Rules!$B$4/10000,"Notional",IF(H161&lt;&gt;I161,"Rate or price",IF(J161&lt;&gt;K161,"Value date","Matched"))))))</f>
        <v>Matched</v>
      </c>
      <c r="M161" s="3" t="n">
        <f aca="false">IF(B161,INDEX(Booking!$G:$G,MATCH(A161,Booking!$A:$A,0)),INDEX(Confirmations!$G:$G,MATCH(A161,Confirmations!$A:$A,0)))</f>
        <v>0</v>
      </c>
      <c r="N161" s="13" t="b">
        <f aca="false">AND(L161&lt;&gt;"Matched",M161&gt;Rules!$B$5)</f>
        <v>0</v>
      </c>
      <c r="O161" s="3" t="str">
        <f aca="false">INDEX(Rules!$B$8:$B$14,MATCH(L161,Rules!$A$8:$A$14,0))</f>
        <v>None</v>
      </c>
    </row>
    <row r="162" customFormat="false" ht="15" hidden="false" customHeight="false" outlineLevel="0" collapsed="false">
      <c r="A162" s="3" t="s">
        <v>203</v>
      </c>
      <c r="B162" s="13" t="b">
        <f aca="false">ISNUMBER(MATCH(A162,Booking!$A:$A,0))</f>
        <v>1</v>
      </c>
      <c r="C162" s="13" t="b">
        <f aca="false">ISNUMBER(MATCH(A162,Confirmations!$A:$A,0))</f>
        <v>1</v>
      </c>
      <c r="D162" s="3" t="str">
        <f aca="false">IFERROR(INDEX(Booking!$C:$C,MATCH($A162,Booking!$A:$A,0)),"")</f>
        <v>Kestrel Macro Fund</v>
      </c>
      <c r="E162" s="3" t="str">
        <f aca="false">IFERROR(INDEX(Confirmations!$C:$C,MATCH($A162,Confirmations!$A:$A,0)),"")</f>
        <v>Kestrel Macro Fund</v>
      </c>
      <c r="F162" s="14" t="n">
        <f aca="false">IFERROR(INDEX(Booking!$D:$D,MATCH($A162,Booking!$A:$A,0)),"")</f>
        <v>38000000</v>
      </c>
      <c r="G162" s="14" t="n">
        <f aca="false">IFERROR(INDEX(Confirmations!$D:$D,MATCH($A162,Confirmations!$A:$A,0)),"")</f>
        <v>38000000</v>
      </c>
      <c r="H162" s="15" t="n">
        <f aca="false">IFERROR(INDEX(Booking!$E:$E,MATCH($A162,Booking!$A:$A,0)),"")</f>
        <v>1.7767</v>
      </c>
      <c r="I162" s="15" t="n">
        <f aca="false">IFERROR(INDEX(Confirmations!$E:$E,MATCH($A162,Confirmations!$A:$A,0)),"")</f>
        <v>1.7767</v>
      </c>
      <c r="J162" s="3" t="n">
        <f aca="false">IFERROR(INDEX(Booking!$F:$F,MATCH($A162,Booking!$A:$A,0)),"")</f>
        <v>3</v>
      </c>
      <c r="K162" s="3" t="n">
        <f aca="false">IFERROR(INDEX(Confirmations!$F:$F,MATCH($A162,Confirmations!$A:$A,0)),"")</f>
        <v>3</v>
      </c>
      <c r="L162" s="3" t="str">
        <f aca="false">IF(NOT(C162),"Unconfirmed",IF(NOT(B162),"Unbooked",IF(D162&lt;&gt;E162,"Counterparty",IF(ABS(F162-G162)&gt;F162*Rules!$B$4/10000,"Notional",IF(H162&lt;&gt;I162,"Rate or price",IF(J162&lt;&gt;K162,"Value date","Matched"))))))</f>
        <v>Matched</v>
      </c>
      <c r="M162" s="3" t="n">
        <f aca="false">IF(B162,INDEX(Booking!$G:$G,MATCH(A162,Booking!$A:$A,0)),INDEX(Confirmations!$G:$G,MATCH(A162,Confirmations!$A:$A,0)))</f>
        <v>1</v>
      </c>
      <c r="N162" s="13" t="b">
        <f aca="false">AND(L162&lt;&gt;"Matched",M162&gt;Rules!$B$5)</f>
        <v>0</v>
      </c>
      <c r="O162" s="3" t="str">
        <f aca="false">INDEX(Rules!$B$8:$B$14,MATCH(L162,Rules!$A$8:$A$14,0))</f>
        <v>None</v>
      </c>
    </row>
    <row r="163" customFormat="false" ht="15" hidden="false" customHeight="false" outlineLevel="0" collapsed="false">
      <c r="A163" s="3" t="s">
        <v>204</v>
      </c>
      <c r="B163" s="13" t="b">
        <f aca="false">ISNUMBER(MATCH(A163,Booking!$A:$A,0))</f>
        <v>1</v>
      </c>
      <c r="C163" s="13" t="b">
        <f aca="false">ISNUMBER(MATCH(A163,Confirmations!$A:$A,0))</f>
        <v>1</v>
      </c>
      <c r="D163" s="3" t="str">
        <f aca="false">IFERROR(INDEX(Booking!$C:$C,MATCH($A163,Booking!$A:$A,0)),"")</f>
        <v>Northbay Pension Fund</v>
      </c>
      <c r="E163" s="3" t="str">
        <f aca="false">IFERROR(INDEX(Confirmations!$C:$C,MATCH($A163,Confirmations!$A:$A,0)),"")</f>
        <v>Northbay Pension Fund</v>
      </c>
      <c r="F163" s="14" t="n">
        <f aca="false">IFERROR(INDEX(Booking!$D:$D,MATCH($A163,Booking!$A:$A,0)),"")</f>
        <v>11000000</v>
      </c>
      <c r="G163" s="14" t="n">
        <f aca="false">IFERROR(INDEX(Confirmations!$D:$D,MATCH($A163,Confirmations!$A:$A,0)),"")</f>
        <v>11000000</v>
      </c>
      <c r="H163" s="15" t="n">
        <f aca="false">IFERROR(INDEX(Booking!$E:$E,MATCH($A163,Booking!$A:$A,0)),"")</f>
        <v>3.7351</v>
      </c>
      <c r="I163" s="15" t="n">
        <f aca="false">IFERROR(INDEX(Confirmations!$E:$E,MATCH($A163,Confirmations!$A:$A,0)),"")</f>
        <v>3.7351</v>
      </c>
      <c r="J163" s="3" t="n">
        <f aca="false">IFERROR(INDEX(Booking!$F:$F,MATCH($A163,Booking!$A:$A,0)),"")</f>
        <v>3</v>
      </c>
      <c r="K163" s="3" t="n">
        <f aca="false">IFERROR(INDEX(Confirmations!$F:$F,MATCH($A163,Confirmations!$A:$A,0)),"")</f>
        <v>3</v>
      </c>
      <c r="L163" s="3" t="str">
        <f aca="false">IF(NOT(C163),"Unconfirmed",IF(NOT(B163),"Unbooked",IF(D163&lt;&gt;E163,"Counterparty",IF(ABS(F163-G163)&gt;F163*Rules!$B$4/10000,"Notional",IF(H163&lt;&gt;I163,"Rate or price",IF(J163&lt;&gt;K163,"Value date","Matched"))))))</f>
        <v>Matched</v>
      </c>
      <c r="M163" s="3" t="n">
        <f aca="false">IF(B163,INDEX(Booking!$G:$G,MATCH(A163,Booking!$A:$A,0)),INDEX(Confirmations!$G:$G,MATCH(A163,Confirmations!$A:$A,0)))</f>
        <v>0</v>
      </c>
      <c r="N163" s="13" t="b">
        <f aca="false">AND(L163&lt;&gt;"Matched",M163&gt;Rules!$B$5)</f>
        <v>0</v>
      </c>
      <c r="O163" s="3" t="str">
        <f aca="false">INDEX(Rules!$B$8:$B$14,MATCH(L163,Rules!$A$8:$A$14,0))</f>
        <v>None</v>
      </c>
    </row>
    <row r="164" customFormat="false" ht="15" hidden="false" customHeight="false" outlineLevel="0" collapsed="false">
      <c r="A164" s="3" t="s">
        <v>205</v>
      </c>
      <c r="B164" s="13" t="b">
        <f aca="false">ISNUMBER(MATCH(A164,Booking!$A:$A,0))</f>
        <v>1</v>
      </c>
      <c r="C164" s="13" t="b">
        <f aca="false">ISNUMBER(MATCH(A164,Confirmations!$A:$A,0))</f>
        <v>1</v>
      </c>
      <c r="D164" s="3" t="str">
        <f aca="false">IFERROR(INDEX(Booking!$C:$C,MATCH($A164,Booking!$A:$A,0)),"")</f>
        <v>Meridian Bank</v>
      </c>
      <c r="E164" s="3" t="str">
        <f aca="false">IFERROR(INDEX(Confirmations!$C:$C,MATCH($A164,Confirmations!$A:$A,0)),"")</f>
        <v>Tarn Energy Trading</v>
      </c>
      <c r="F164" s="14" t="n">
        <f aca="false">IFERROR(INDEX(Booking!$D:$D,MATCH($A164,Booking!$A:$A,0)),"")</f>
        <v>40000000</v>
      </c>
      <c r="G164" s="14" t="n">
        <f aca="false">IFERROR(INDEX(Confirmations!$D:$D,MATCH($A164,Confirmations!$A:$A,0)),"")</f>
        <v>40000000</v>
      </c>
      <c r="H164" s="15" t="n">
        <f aca="false">IFERROR(INDEX(Booking!$E:$E,MATCH($A164,Booking!$A:$A,0)),"")</f>
        <v>3.2072</v>
      </c>
      <c r="I164" s="15" t="n">
        <f aca="false">IFERROR(INDEX(Confirmations!$E:$E,MATCH($A164,Confirmations!$A:$A,0)),"")</f>
        <v>3.2072</v>
      </c>
      <c r="J164" s="3" t="n">
        <f aca="false">IFERROR(INDEX(Booking!$F:$F,MATCH($A164,Booking!$A:$A,0)),"")</f>
        <v>2</v>
      </c>
      <c r="K164" s="3" t="n">
        <f aca="false">IFERROR(INDEX(Confirmations!$F:$F,MATCH($A164,Confirmations!$A:$A,0)),"")</f>
        <v>2</v>
      </c>
      <c r="L164" s="3" t="str">
        <f aca="false">IF(NOT(C164),"Unconfirmed",IF(NOT(B164),"Unbooked",IF(D164&lt;&gt;E164,"Counterparty",IF(ABS(F164-G164)&gt;F164*Rules!$B$4/10000,"Notional",IF(H164&lt;&gt;I164,"Rate or price",IF(J164&lt;&gt;K164,"Value date","Matched"))))))</f>
        <v>Counterparty</v>
      </c>
      <c r="M164" s="3" t="n">
        <f aca="false">IF(B164,INDEX(Booking!$G:$G,MATCH(A164,Booking!$A:$A,0)),INDEX(Confirmations!$G:$G,MATCH(A164,Confirmations!$A:$A,0)))</f>
        <v>0</v>
      </c>
      <c r="N164" s="13" t="b">
        <f aca="false">AND(L164&lt;&gt;"Matched",M164&gt;Rules!$B$5)</f>
        <v>0</v>
      </c>
      <c r="O164" s="3" t="str">
        <f aca="false">INDEX(Rules!$B$8:$B$14,MATCH(L164,Rules!$A$8:$A$14,0))</f>
        <v>Static data: correct legal entity</v>
      </c>
    </row>
    <row r="165" customFormat="false" ht="15" hidden="false" customHeight="false" outlineLevel="0" collapsed="false">
      <c r="A165" s="3" t="s">
        <v>206</v>
      </c>
      <c r="B165" s="13" t="b">
        <f aca="false">ISNUMBER(MATCH(A165,Booking!$A:$A,0))</f>
        <v>1</v>
      </c>
      <c r="C165" s="13" t="b">
        <f aca="false">ISNUMBER(MATCH(A165,Confirmations!$A:$A,0))</f>
        <v>1</v>
      </c>
      <c r="D165" s="3" t="str">
        <f aca="false">IFERROR(INDEX(Booking!$C:$C,MATCH($A165,Booking!$A:$A,0)),"")</f>
        <v>Tarn Energy Trading</v>
      </c>
      <c r="E165" s="3" t="str">
        <f aca="false">IFERROR(INDEX(Confirmations!$C:$C,MATCH($A165,Confirmations!$A:$A,0)),"")</f>
        <v>Tarn Energy Trading</v>
      </c>
      <c r="F165" s="14" t="n">
        <f aca="false">IFERROR(INDEX(Booking!$D:$D,MATCH($A165,Booking!$A:$A,0)),"")</f>
        <v>10000000</v>
      </c>
      <c r="G165" s="14" t="n">
        <f aca="false">IFERROR(INDEX(Confirmations!$D:$D,MATCH($A165,Confirmations!$A:$A,0)),"")</f>
        <v>10000000</v>
      </c>
      <c r="H165" s="15" t="n">
        <f aca="false">IFERROR(INDEX(Booking!$E:$E,MATCH($A165,Booking!$A:$A,0)),"")</f>
        <v>5.6354</v>
      </c>
      <c r="I165" s="15" t="n">
        <f aca="false">IFERROR(INDEX(Confirmations!$E:$E,MATCH($A165,Confirmations!$A:$A,0)),"")</f>
        <v>5.6354</v>
      </c>
      <c r="J165" s="3" t="n">
        <f aca="false">IFERROR(INDEX(Booking!$F:$F,MATCH($A165,Booking!$A:$A,0)),"")</f>
        <v>3</v>
      </c>
      <c r="K165" s="3" t="n">
        <f aca="false">IFERROR(INDEX(Confirmations!$F:$F,MATCH($A165,Confirmations!$A:$A,0)),"")</f>
        <v>3</v>
      </c>
      <c r="L165" s="3" t="str">
        <f aca="false">IF(NOT(C165),"Unconfirmed",IF(NOT(B165),"Unbooked",IF(D165&lt;&gt;E165,"Counterparty",IF(ABS(F165-G165)&gt;F165*Rules!$B$4/10000,"Notional",IF(H165&lt;&gt;I165,"Rate or price",IF(J165&lt;&gt;K165,"Value date","Matched"))))))</f>
        <v>Matched</v>
      </c>
      <c r="M165" s="3" t="n">
        <f aca="false">IF(B165,INDEX(Booking!$G:$G,MATCH(A165,Booking!$A:$A,0)),INDEX(Confirmations!$G:$G,MATCH(A165,Confirmations!$A:$A,0)))</f>
        <v>5</v>
      </c>
      <c r="N165" s="13" t="b">
        <f aca="false">AND(L165&lt;&gt;"Matched",M165&gt;Rules!$B$5)</f>
        <v>0</v>
      </c>
      <c r="O165" s="3" t="str">
        <f aca="false">INDEX(Rules!$B$8:$B$14,MATCH(L165,Rules!$A$8:$A$14,0))</f>
        <v>None</v>
      </c>
    </row>
    <row r="166" customFormat="false" ht="15" hidden="false" customHeight="false" outlineLevel="0" collapsed="false">
      <c r="A166" s="3" t="s">
        <v>207</v>
      </c>
      <c r="B166" s="13" t="b">
        <f aca="false">ISNUMBER(MATCH(A166,Booking!$A:$A,0))</f>
        <v>1</v>
      </c>
      <c r="C166" s="13" t="b">
        <f aca="false">ISNUMBER(MATCH(A166,Confirmations!$A:$A,0))</f>
        <v>1</v>
      </c>
      <c r="D166" s="3" t="str">
        <f aca="false">IFERROR(INDEX(Booking!$C:$C,MATCH($A166,Booking!$A:$A,0)),"")</f>
        <v>Meridian Bank</v>
      </c>
      <c r="E166" s="3" t="str">
        <f aca="false">IFERROR(INDEX(Confirmations!$C:$C,MATCH($A166,Confirmations!$A:$A,0)),"")</f>
        <v>Meridian Bank</v>
      </c>
      <c r="F166" s="14" t="n">
        <f aca="false">IFERROR(INDEX(Booking!$D:$D,MATCH($A166,Booking!$A:$A,0)),"")</f>
        <v>43000000</v>
      </c>
      <c r="G166" s="14" t="n">
        <f aca="false">IFERROR(INDEX(Confirmations!$D:$D,MATCH($A166,Confirmations!$A:$A,0)),"")</f>
        <v>43000000</v>
      </c>
      <c r="H166" s="15" t="n">
        <f aca="false">IFERROR(INDEX(Booking!$E:$E,MATCH($A166,Booking!$A:$A,0)),"")</f>
        <v>5.8317</v>
      </c>
      <c r="I166" s="15" t="n">
        <f aca="false">IFERROR(INDEX(Confirmations!$E:$E,MATCH($A166,Confirmations!$A:$A,0)),"")</f>
        <v>5.8317</v>
      </c>
      <c r="J166" s="3" t="n">
        <f aca="false">IFERROR(INDEX(Booking!$F:$F,MATCH($A166,Booking!$A:$A,0)),"")</f>
        <v>3</v>
      </c>
      <c r="K166" s="3" t="n">
        <f aca="false">IFERROR(INDEX(Confirmations!$F:$F,MATCH($A166,Confirmations!$A:$A,0)),"")</f>
        <v>3</v>
      </c>
      <c r="L166" s="3" t="str">
        <f aca="false">IF(NOT(C166),"Unconfirmed",IF(NOT(B166),"Unbooked",IF(D166&lt;&gt;E166,"Counterparty",IF(ABS(F166-G166)&gt;F166*Rules!$B$4/10000,"Notional",IF(H166&lt;&gt;I166,"Rate or price",IF(J166&lt;&gt;K166,"Value date","Matched"))))))</f>
        <v>Matched</v>
      </c>
      <c r="M166" s="3" t="n">
        <f aca="false">IF(B166,INDEX(Booking!$G:$G,MATCH(A166,Booking!$A:$A,0)),INDEX(Confirmations!$G:$G,MATCH(A166,Confirmations!$A:$A,0)))</f>
        <v>0</v>
      </c>
      <c r="N166" s="13" t="b">
        <f aca="false">AND(L166&lt;&gt;"Matched",M166&gt;Rules!$B$5)</f>
        <v>0</v>
      </c>
      <c r="O166" s="3" t="str">
        <f aca="false">INDEX(Rules!$B$8:$B$14,MATCH(L166,Rules!$A$8:$A$14,0))</f>
        <v>None</v>
      </c>
    </row>
    <row r="167" customFormat="false" ht="15" hidden="false" customHeight="false" outlineLevel="0" collapsed="false">
      <c r="A167" s="3" t="s">
        <v>208</v>
      </c>
      <c r="B167" s="13" t="b">
        <f aca="false">ISNUMBER(MATCH(A167,Booking!$A:$A,0))</f>
        <v>1</v>
      </c>
      <c r="C167" s="13" t="b">
        <f aca="false">ISNUMBER(MATCH(A167,Confirmations!$A:$A,0))</f>
        <v>1</v>
      </c>
      <c r="D167" s="3" t="str">
        <f aca="false">IFERROR(INDEX(Booking!$C:$C,MATCH($A167,Booking!$A:$A,0)),"")</f>
        <v>Kestrel Macro Fund</v>
      </c>
      <c r="E167" s="3" t="str">
        <f aca="false">IFERROR(INDEX(Confirmations!$C:$C,MATCH($A167,Confirmations!$A:$A,0)),"")</f>
        <v>Kestrel Macro Fund</v>
      </c>
      <c r="F167" s="14" t="n">
        <f aca="false">IFERROR(INDEX(Booking!$D:$D,MATCH($A167,Booking!$A:$A,0)),"")</f>
        <v>15000000</v>
      </c>
      <c r="G167" s="14" t="n">
        <f aca="false">IFERROR(INDEX(Confirmations!$D:$D,MATCH($A167,Confirmations!$A:$A,0)),"")</f>
        <v>15000000</v>
      </c>
      <c r="H167" s="15" t="n">
        <f aca="false">IFERROR(INDEX(Booking!$E:$E,MATCH($A167,Booking!$A:$A,0)),"")</f>
        <v>4.9566</v>
      </c>
      <c r="I167" s="15" t="n">
        <f aca="false">IFERROR(INDEX(Confirmations!$E:$E,MATCH($A167,Confirmations!$A:$A,0)),"")</f>
        <v>4.9566</v>
      </c>
      <c r="J167" s="3" t="n">
        <f aca="false">IFERROR(INDEX(Booking!$F:$F,MATCH($A167,Booking!$A:$A,0)),"")</f>
        <v>2</v>
      </c>
      <c r="K167" s="3" t="n">
        <f aca="false">IFERROR(INDEX(Confirmations!$F:$F,MATCH($A167,Confirmations!$A:$A,0)),"")</f>
        <v>2</v>
      </c>
      <c r="L167" s="3" t="str">
        <f aca="false">IF(NOT(C167),"Unconfirmed",IF(NOT(B167),"Unbooked",IF(D167&lt;&gt;E167,"Counterparty",IF(ABS(F167-G167)&gt;F167*Rules!$B$4/10000,"Notional",IF(H167&lt;&gt;I167,"Rate or price",IF(J167&lt;&gt;K167,"Value date","Matched"))))))</f>
        <v>Matched</v>
      </c>
      <c r="M167" s="3" t="n">
        <f aca="false">IF(B167,INDEX(Booking!$G:$G,MATCH(A167,Booking!$A:$A,0)),INDEX(Confirmations!$G:$G,MATCH(A167,Confirmations!$A:$A,0)))</f>
        <v>1</v>
      </c>
      <c r="N167" s="13" t="b">
        <f aca="false">AND(L167&lt;&gt;"Matched",M167&gt;Rules!$B$5)</f>
        <v>0</v>
      </c>
      <c r="O167" s="3" t="str">
        <f aca="false">INDEX(Rules!$B$8:$B$14,MATCH(L167,Rules!$A$8:$A$14,0))</f>
        <v>None</v>
      </c>
    </row>
    <row r="168" customFormat="false" ht="15" hidden="false" customHeight="false" outlineLevel="0" collapsed="false">
      <c r="A168" s="3" t="s">
        <v>209</v>
      </c>
      <c r="B168" s="13" t="b">
        <f aca="false">ISNUMBER(MATCH(A168,Booking!$A:$A,0))</f>
        <v>1</v>
      </c>
      <c r="C168" s="13" t="b">
        <f aca="false">ISNUMBER(MATCH(A168,Confirmations!$A:$A,0))</f>
        <v>1</v>
      </c>
      <c r="D168" s="3" t="str">
        <f aca="false">IFERROR(INDEX(Booking!$C:$C,MATCH($A168,Booking!$A:$A,0)),"")</f>
        <v>Kestrel Macro Fund</v>
      </c>
      <c r="E168" s="3" t="str">
        <f aca="false">IFERROR(INDEX(Confirmations!$C:$C,MATCH($A168,Confirmations!$A:$A,0)),"")</f>
        <v>Kestrel Macro Fund</v>
      </c>
      <c r="F168" s="14" t="n">
        <f aca="false">IFERROR(INDEX(Booking!$D:$D,MATCH($A168,Booking!$A:$A,0)),"")</f>
        <v>3000000</v>
      </c>
      <c r="G168" s="14" t="n">
        <f aca="false">IFERROR(INDEX(Confirmations!$D:$D,MATCH($A168,Confirmations!$A:$A,0)),"")</f>
        <v>3000000</v>
      </c>
      <c r="H168" s="15" t="n">
        <f aca="false">IFERROR(INDEX(Booking!$E:$E,MATCH($A168,Booking!$A:$A,0)),"")</f>
        <v>4.3368</v>
      </c>
      <c r="I168" s="15" t="n">
        <f aca="false">IFERROR(INDEX(Confirmations!$E:$E,MATCH($A168,Confirmations!$A:$A,0)),"")</f>
        <v>4.3368</v>
      </c>
      <c r="J168" s="3" t="n">
        <f aca="false">IFERROR(INDEX(Booking!$F:$F,MATCH($A168,Booking!$A:$A,0)),"")</f>
        <v>1</v>
      </c>
      <c r="K168" s="3" t="n">
        <f aca="false">IFERROR(INDEX(Confirmations!$F:$F,MATCH($A168,Confirmations!$A:$A,0)),"")</f>
        <v>1</v>
      </c>
      <c r="L168" s="3" t="str">
        <f aca="false">IF(NOT(C168),"Unconfirmed",IF(NOT(B168),"Unbooked",IF(D168&lt;&gt;E168,"Counterparty",IF(ABS(F168-G168)&gt;F168*Rules!$B$4/10000,"Notional",IF(H168&lt;&gt;I168,"Rate or price",IF(J168&lt;&gt;K168,"Value date","Matched"))))))</f>
        <v>Matched</v>
      </c>
      <c r="M168" s="3" t="n">
        <f aca="false">IF(B168,INDEX(Booking!$G:$G,MATCH(A168,Booking!$A:$A,0)),INDEX(Confirmations!$G:$G,MATCH(A168,Confirmations!$A:$A,0)))</f>
        <v>0</v>
      </c>
      <c r="N168" s="13" t="b">
        <f aca="false">AND(L168&lt;&gt;"Matched",M168&gt;Rules!$B$5)</f>
        <v>0</v>
      </c>
      <c r="O168" s="3" t="str">
        <f aca="false">INDEX(Rules!$B$8:$B$14,MATCH(L168,Rules!$A$8:$A$14,0))</f>
        <v>None</v>
      </c>
    </row>
    <row r="169" customFormat="false" ht="15" hidden="false" customHeight="false" outlineLevel="0" collapsed="false">
      <c r="A169" s="3" t="s">
        <v>210</v>
      </c>
      <c r="B169" s="13" t="b">
        <f aca="false">ISNUMBER(MATCH(A169,Booking!$A:$A,0))</f>
        <v>1</v>
      </c>
      <c r="C169" s="13" t="b">
        <f aca="false">ISNUMBER(MATCH(A169,Confirmations!$A:$A,0))</f>
        <v>1</v>
      </c>
      <c r="D169" s="3" t="str">
        <f aca="false">IFERROR(INDEX(Booking!$C:$C,MATCH($A169,Booking!$A:$A,0)),"")</f>
        <v>Kestrel Macro Fund</v>
      </c>
      <c r="E169" s="3" t="str">
        <f aca="false">IFERROR(INDEX(Confirmations!$C:$C,MATCH($A169,Confirmations!$A:$A,0)),"")</f>
        <v>Kestrel Macro Fund</v>
      </c>
      <c r="F169" s="14" t="n">
        <f aca="false">IFERROR(INDEX(Booking!$D:$D,MATCH($A169,Booking!$A:$A,0)),"")</f>
        <v>16000000</v>
      </c>
      <c r="G169" s="14" t="n">
        <f aca="false">IFERROR(INDEX(Confirmations!$D:$D,MATCH($A169,Confirmations!$A:$A,0)),"")</f>
        <v>16000000</v>
      </c>
      <c r="H169" s="15" t="n">
        <f aca="false">IFERROR(INDEX(Booking!$E:$E,MATCH($A169,Booking!$A:$A,0)),"")</f>
        <v>1.365</v>
      </c>
      <c r="I169" s="15" t="n">
        <f aca="false">IFERROR(INDEX(Confirmations!$E:$E,MATCH($A169,Confirmations!$A:$A,0)),"")</f>
        <v>1.365</v>
      </c>
      <c r="J169" s="3" t="n">
        <f aca="false">IFERROR(INDEX(Booking!$F:$F,MATCH($A169,Booking!$A:$A,0)),"")</f>
        <v>1</v>
      </c>
      <c r="K169" s="3" t="n">
        <f aca="false">IFERROR(INDEX(Confirmations!$F:$F,MATCH($A169,Confirmations!$A:$A,0)),"")</f>
        <v>1</v>
      </c>
      <c r="L169" s="3" t="str">
        <f aca="false">IF(NOT(C169),"Unconfirmed",IF(NOT(B169),"Unbooked",IF(D169&lt;&gt;E169,"Counterparty",IF(ABS(F169-G169)&gt;F169*Rules!$B$4/10000,"Notional",IF(H169&lt;&gt;I169,"Rate or price",IF(J169&lt;&gt;K169,"Value date","Matched"))))))</f>
        <v>Matched</v>
      </c>
      <c r="M169" s="3" t="n">
        <f aca="false">IF(B169,INDEX(Booking!$G:$G,MATCH(A169,Booking!$A:$A,0)),INDEX(Confirmations!$G:$G,MATCH(A169,Confirmations!$A:$A,0)))</f>
        <v>0</v>
      </c>
      <c r="N169" s="13" t="b">
        <f aca="false">AND(L169&lt;&gt;"Matched",M169&gt;Rules!$B$5)</f>
        <v>0</v>
      </c>
      <c r="O169" s="3" t="str">
        <f aca="false">INDEX(Rules!$B$8:$B$14,MATCH(L169,Rules!$A$8:$A$14,0))</f>
        <v>None</v>
      </c>
    </row>
    <row r="170" customFormat="false" ht="15" hidden="false" customHeight="false" outlineLevel="0" collapsed="false">
      <c r="A170" s="3" t="s">
        <v>211</v>
      </c>
      <c r="B170" s="13" t="b">
        <f aca="false">ISNUMBER(MATCH(A170,Booking!$A:$A,0))</f>
        <v>1</v>
      </c>
      <c r="C170" s="13" t="b">
        <f aca="false">ISNUMBER(MATCH(A170,Confirmations!$A:$A,0))</f>
        <v>1</v>
      </c>
      <c r="D170" s="3" t="str">
        <f aca="false">IFERROR(INDEX(Booking!$C:$C,MATCH($A170,Booking!$A:$A,0)),"")</f>
        <v>Vale Corporate Treasury</v>
      </c>
      <c r="E170" s="3" t="str">
        <f aca="false">IFERROR(INDEX(Confirmations!$C:$C,MATCH($A170,Confirmations!$A:$A,0)),"")</f>
        <v>Vale Corporate Treasury</v>
      </c>
      <c r="F170" s="14" t="n">
        <f aca="false">IFERROR(INDEX(Booking!$D:$D,MATCH($A170,Booking!$A:$A,0)),"")</f>
        <v>11000000</v>
      </c>
      <c r="G170" s="14" t="n">
        <f aca="false">IFERROR(INDEX(Confirmations!$D:$D,MATCH($A170,Confirmations!$A:$A,0)),"")</f>
        <v>11000000</v>
      </c>
      <c r="H170" s="15" t="n">
        <f aca="false">IFERROR(INDEX(Booking!$E:$E,MATCH($A170,Booking!$A:$A,0)),"")</f>
        <v>5.0654</v>
      </c>
      <c r="I170" s="15" t="n">
        <f aca="false">IFERROR(INDEX(Confirmations!$E:$E,MATCH($A170,Confirmations!$A:$A,0)),"")</f>
        <v>5.0654</v>
      </c>
      <c r="J170" s="3" t="n">
        <f aca="false">IFERROR(INDEX(Booking!$F:$F,MATCH($A170,Booking!$A:$A,0)),"")</f>
        <v>3</v>
      </c>
      <c r="K170" s="3" t="n">
        <f aca="false">IFERROR(INDEX(Confirmations!$F:$F,MATCH($A170,Confirmations!$A:$A,0)),"")</f>
        <v>3</v>
      </c>
      <c r="L170" s="3" t="str">
        <f aca="false">IF(NOT(C170),"Unconfirmed",IF(NOT(B170),"Unbooked",IF(D170&lt;&gt;E170,"Counterparty",IF(ABS(F170-G170)&gt;F170*Rules!$B$4/10000,"Notional",IF(H170&lt;&gt;I170,"Rate or price",IF(J170&lt;&gt;K170,"Value date","Matched"))))))</f>
        <v>Matched</v>
      </c>
      <c r="M170" s="3" t="n">
        <f aca="false">IF(B170,INDEX(Booking!$G:$G,MATCH(A170,Booking!$A:$A,0)),INDEX(Confirmations!$G:$G,MATCH(A170,Confirmations!$A:$A,0)))</f>
        <v>0</v>
      </c>
      <c r="N170" s="13" t="b">
        <f aca="false">AND(L170&lt;&gt;"Matched",M170&gt;Rules!$B$5)</f>
        <v>0</v>
      </c>
      <c r="O170" s="3" t="str">
        <f aca="false">INDEX(Rules!$B$8:$B$14,MATCH(L170,Rules!$A$8:$A$14,0))</f>
        <v>None</v>
      </c>
    </row>
    <row r="171" customFormat="false" ht="15" hidden="false" customHeight="false" outlineLevel="0" collapsed="false">
      <c r="A171" s="3" t="s">
        <v>212</v>
      </c>
      <c r="B171" s="13" t="b">
        <f aca="false">ISNUMBER(MATCH(A171,Booking!$A:$A,0))</f>
        <v>1</v>
      </c>
      <c r="C171" s="13" t="b">
        <f aca="false">ISNUMBER(MATCH(A171,Confirmations!$A:$A,0))</f>
        <v>1</v>
      </c>
      <c r="D171" s="3" t="str">
        <f aca="false">IFERROR(INDEX(Booking!$C:$C,MATCH($A171,Booking!$A:$A,0)),"")</f>
        <v>Vale Corporate Treasury</v>
      </c>
      <c r="E171" s="3" t="str">
        <f aca="false">IFERROR(INDEX(Confirmations!$C:$C,MATCH($A171,Confirmations!$A:$A,0)),"")</f>
        <v>Vale Corporate Treasury</v>
      </c>
      <c r="F171" s="14" t="n">
        <f aca="false">IFERROR(INDEX(Booking!$D:$D,MATCH($A171,Booking!$A:$A,0)),"")</f>
        <v>13000000</v>
      </c>
      <c r="G171" s="14" t="n">
        <f aca="false">IFERROR(INDEX(Confirmations!$D:$D,MATCH($A171,Confirmations!$A:$A,0)),"")</f>
        <v>13000000</v>
      </c>
      <c r="H171" s="15" t="n">
        <f aca="false">IFERROR(INDEX(Booking!$E:$E,MATCH($A171,Booking!$A:$A,0)),"")</f>
        <v>5.822</v>
      </c>
      <c r="I171" s="15" t="n">
        <f aca="false">IFERROR(INDEX(Confirmations!$E:$E,MATCH($A171,Confirmations!$A:$A,0)),"")</f>
        <v>5.822</v>
      </c>
      <c r="J171" s="3" t="n">
        <f aca="false">IFERROR(INDEX(Booking!$F:$F,MATCH($A171,Booking!$A:$A,0)),"")</f>
        <v>3</v>
      </c>
      <c r="K171" s="3" t="n">
        <f aca="false">IFERROR(INDEX(Confirmations!$F:$F,MATCH($A171,Confirmations!$A:$A,0)),"")</f>
        <v>3</v>
      </c>
      <c r="L171" s="3" t="str">
        <f aca="false">IF(NOT(C171),"Unconfirmed",IF(NOT(B171),"Unbooked",IF(D171&lt;&gt;E171,"Counterparty",IF(ABS(F171-G171)&gt;F171*Rules!$B$4/10000,"Notional",IF(H171&lt;&gt;I171,"Rate or price",IF(J171&lt;&gt;K171,"Value date","Matched"))))))</f>
        <v>Matched</v>
      </c>
      <c r="M171" s="3" t="n">
        <f aca="false">IF(B171,INDEX(Booking!$G:$G,MATCH(A171,Booking!$A:$A,0)),INDEX(Confirmations!$G:$G,MATCH(A171,Confirmations!$A:$A,0)))</f>
        <v>1</v>
      </c>
      <c r="N171" s="13" t="b">
        <f aca="false">AND(L171&lt;&gt;"Matched",M171&gt;Rules!$B$5)</f>
        <v>0</v>
      </c>
      <c r="O171" s="3" t="str">
        <f aca="false">INDEX(Rules!$B$8:$B$14,MATCH(L171,Rules!$A$8:$A$14,0))</f>
        <v>None</v>
      </c>
    </row>
    <row r="172" customFormat="false" ht="15" hidden="false" customHeight="false" outlineLevel="0" collapsed="false">
      <c r="A172" s="3" t="s">
        <v>213</v>
      </c>
      <c r="B172" s="13" t="b">
        <f aca="false">ISNUMBER(MATCH(A172,Booking!$A:$A,0))</f>
        <v>1</v>
      </c>
      <c r="C172" s="13" t="b">
        <f aca="false">ISNUMBER(MATCH(A172,Confirmations!$A:$A,0))</f>
        <v>1</v>
      </c>
      <c r="D172" s="3" t="str">
        <f aca="false">IFERROR(INDEX(Booking!$C:$C,MATCH($A172,Booking!$A:$A,0)),"")</f>
        <v>Meridian Bank</v>
      </c>
      <c r="E172" s="3" t="str">
        <f aca="false">IFERROR(INDEX(Confirmations!$C:$C,MATCH($A172,Confirmations!$A:$A,0)),"")</f>
        <v>Meridian Bank</v>
      </c>
      <c r="F172" s="14" t="n">
        <f aca="false">IFERROR(INDEX(Booking!$D:$D,MATCH($A172,Booking!$A:$A,0)),"")</f>
        <v>42000000</v>
      </c>
      <c r="G172" s="14" t="n">
        <f aca="false">IFERROR(INDEX(Confirmations!$D:$D,MATCH($A172,Confirmations!$A:$A,0)),"")</f>
        <v>42000000</v>
      </c>
      <c r="H172" s="15" t="n">
        <f aca="false">IFERROR(INDEX(Booking!$E:$E,MATCH($A172,Booking!$A:$A,0)),"")</f>
        <v>1.4597</v>
      </c>
      <c r="I172" s="15" t="n">
        <f aca="false">IFERROR(INDEX(Confirmations!$E:$E,MATCH($A172,Confirmations!$A:$A,0)),"")</f>
        <v>1.4597</v>
      </c>
      <c r="J172" s="3" t="n">
        <f aca="false">IFERROR(INDEX(Booking!$F:$F,MATCH($A172,Booking!$A:$A,0)),"")</f>
        <v>2</v>
      </c>
      <c r="K172" s="3" t="n">
        <f aca="false">IFERROR(INDEX(Confirmations!$F:$F,MATCH($A172,Confirmations!$A:$A,0)),"")</f>
        <v>2</v>
      </c>
      <c r="L172" s="3" t="str">
        <f aca="false">IF(NOT(C172),"Unconfirmed",IF(NOT(B172),"Unbooked",IF(D172&lt;&gt;E172,"Counterparty",IF(ABS(F172-G172)&gt;F172*Rules!$B$4/10000,"Notional",IF(H172&lt;&gt;I172,"Rate or price",IF(J172&lt;&gt;K172,"Value date","Matched"))))))</f>
        <v>Matched</v>
      </c>
      <c r="M172" s="3" t="n">
        <f aca="false">IF(B172,INDEX(Booking!$G:$G,MATCH(A172,Booking!$A:$A,0)),INDEX(Confirmations!$G:$G,MATCH(A172,Confirmations!$A:$A,0)))</f>
        <v>0</v>
      </c>
      <c r="N172" s="13" t="b">
        <f aca="false">AND(L172&lt;&gt;"Matched",M172&gt;Rules!$B$5)</f>
        <v>0</v>
      </c>
      <c r="O172" s="3" t="str">
        <f aca="false">INDEX(Rules!$B$8:$B$14,MATCH(L172,Rules!$A$8:$A$14,0))</f>
        <v>None</v>
      </c>
    </row>
    <row r="173" customFormat="false" ht="15" hidden="false" customHeight="false" outlineLevel="0" collapsed="false">
      <c r="A173" s="3" t="s">
        <v>214</v>
      </c>
      <c r="B173" s="13" t="b">
        <f aca="false">ISNUMBER(MATCH(A173,Booking!$A:$A,0))</f>
        <v>1</v>
      </c>
      <c r="C173" s="13" t="b">
        <f aca="false">ISNUMBER(MATCH(A173,Confirmations!$A:$A,0))</f>
        <v>1</v>
      </c>
      <c r="D173" s="3" t="str">
        <f aca="false">IFERROR(INDEX(Booking!$C:$C,MATCH($A173,Booking!$A:$A,0)),"")</f>
        <v>Vale Corporate Treasury</v>
      </c>
      <c r="E173" s="3" t="str">
        <f aca="false">IFERROR(INDEX(Confirmations!$C:$C,MATCH($A173,Confirmations!$A:$A,0)),"")</f>
        <v>Vale Corporate Treasury</v>
      </c>
      <c r="F173" s="14" t="n">
        <f aca="false">IFERROR(INDEX(Booking!$D:$D,MATCH($A173,Booking!$A:$A,0)),"")</f>
        <v>7000000</v>
      </c>
      <c r="G173" s="14" t="n">
        <f aca="false">IFERROR(INDEX(Confirmations!$D:$D,MATCH($A173,Confirmations!$A:$A,0)),"")</f>
        <v>7000000</v>
      </c>
      <c r="H173" s="15" t="n">
        <f aca="false">IFERROR(INDEX(Booking!$E:$E,MATCH($A173,Booking!$A:$A,0)),"")</f>
        <v>4.8001</v>
      </c>
      <c r="I173" s="15" t="n">
        <f aca="false">IFERROR(INDEX(Confirmations!$E:$E,MATCH($A173,Confirmations!$A:$A,0)),"")</f>
        <v>4.8001</v>
      </c>
      <c r="J173" s="3" t="n">
        <f aca="false">IFERROR(INDEX(Booking!$F:$F,MATCH($A173,Booking!$A:$A,0)),"")</f>
        <v>1</v>
      </c>
      <c r="K173" s="3" t="n">
        <f aca="false">IFERROR(INDEX(Confirmations!$F:$F,MATCH($A173,Confirmations!$A:$A,0)),"")</f>
        <v>1</v>
      </c>
      <c r="L173" s="3" t="str">
        <f aca="false">IF(NOT(C173),"Unconfirmed",IF(NOT(B173),"Unbooked",IF(D173&lt;&gt;E173,"Counterparty",IF(ABS(F173-G173)&gt;F173*Rules!$B$4/10000,"Notional",IF(H173&lt;&gt;I173,"Rate or price",IF(J173&lt;&gt;K173,"Value date","Matched"))))))</f>
        <v>Matched</v>
      </c>
      <c r="M173" s="3" t="n">
        <f aca="false">IF(B173,INDEX(Booking!$G:$G,MATCH(A173,Booking!$A:$A,0)),INDEX(Confirmations!$G:$G,MATCH(A173,Confirmations!$A:$A,0)))</f>
        <v>3</v>
      </c>
      <c r="N173" s="13" t="b">
        <f aca="false">AND(L173&lt;&gt;"Matched",M173&gt;Rules!$B$5)</f>
        <v>0</v>
      </c>
      <c r="O173" s="3" t="str">
        <f aca="false">INDEX(Rules!$B$8:$B$14,MATCH(L173,Rules!$A$8:$A$14,0))</f>
        <v>None</v>
      </c>
    </row>
    <row r="174" customFormat="false" ht="15" hidden="false" customHeight="false" outlineLevel="0" collapsed="false">
      <c r="A174" s="3" t="s">
        <v>215</v>
      </c>
      <c r="B174" s="13" t="b">
        <f aca="false">ISNUMBER(MATCH(A174,Booking!$A:$A,0))</f>
        <v>1</v>
      </c>
      <c r="C174" s="13" t="b">
        <f aca="false">ISNUMBER(MATCH(A174,Confirmations!$A:$A,0))</f>
        <v>1</v>
      </c>
      <c r="D174" s="3" t="str">
        <f aca="false">IFERROR(INDEX(Booking!$C:$C,MATCH($A174,Booking!$A:$A,0)),"")</f>
        <v>Solent Asset Management</v>
      </c>
      <c r="E174" s="3" t="str">
        <f aca="false">IFERROR(INDEX(Confirmations!$C:$C,MATCH($A174,Confirmations!$A:$A,0)),"")</f>
        <v>Solent Asset Management</v>
      </c>
      <c r="F174" s="14" t="n">
        <f aca="false">IFERROR(INDEX(Booking!$D:$D,MATCH($A174,Booking!$A:$A,0)),"")</f>
        <v>17000000</v>
      </c>
      <c r="G174" s="14" t="n">
        <f aca="false">IFERROR(INDEX(Confirmations!$D:$D,MATCH($A174,Confirmations!$A:$A,0)),"")</f>
        <v>17000000</v>
      </c>
      <c r="H174" s="15" t="n">
        <f aca="false">IFERROR(INDEX(Booking!$E:$E,MATCH($A174,Booking!$A:$A,0)),"")</f>
        <v>5.14</v>
      </c>
      <c r="I174" s="15" t="n">
        <f aca="false">IFERROR(INDEX(Confirmations!$E:$E,MATCH($A174,Confirmations!$A:$A,0)),"")</f>
        <v>5.14</v>
      </c>
      <c r="J174" s="3" t="n">
        <f aca="false">IFERROR(INDEX(Booking!$F:$F,MATCH($A174,Booking!$A:$A,0)),"")</f>
        <v>3</v>
      </c>
      <c r="K174" s="3" t="n">
        <f aca="false">IFERROR(INDEX(Confirmations!$F:$F,MATCH($A174,Confirmations!$A:$A,0)),"")</f>
        <v>3</v>
      </c>
      <c r="L174" s="3" t="str">
        <f aca="false">IF(NOT(C174),"Unconfirmed",IF(NOT(B174),"Unbooked",IF(D174&lt;&gt;E174,"Counterparty",IF(ABS(F174-G174)&gt;F174*Rules!$B$4/10000,"Notional",IF(H174&lt;&gt;I174,"Rate or price",IF(J174&lt;&gt;K174,"Value date","Matched"))))))</f>
        <v>Matched</v>
      </c>
      <c r="M174" s="3" t="n">
        <f aca="false">IF(B174,INDEX(Booking!$G:$G,MATCH(A174,Booking!$A:$A,0)),INDEX(Confirmations!$G:$G,MATCH(A174,Confirmations!$A:$A,0)))</f>
        <v>2</v>
      </c>
      <c r="N174" s="13" t="b">
        <f aca="false">AND(L174&lt;&gt;"Matched",M174&gt;Rules!$B$5)</f>
        <v>0</v>
      </c>
      <c r="O174" s="3" t="str">
        <f aca="false">INDEX(Rules!$B$8:$B$14,MATCH(L174,Rules!$A$8:$A$14,0))</f>
        <v>None</v>
      </c>
    </row>
    <row r="175" customFormat="false" ht="15" hidden="false" customHeight="false" outlineLevel="0" collapsed="false">
      <c r="A175" s="3" t="s">
        <v>216</v>
      </c>
      <c r="B175" s="13" t="b">
        <f aca="false">ISNUMBER(MATCH(A175,Booking!$A:$A,0))</f>
        <v>1</v>
      </c>
      <c r="C175" s="13" t="b">
        <f aca="false">ISNUMBER(MATCH(A175,Confirmations!$A:$A,0))</f>
        <v>1</v>
      </c>
      <c r="D175" s="3" t="str">
        <f aca="false">IFERROR(INDEX(Booking!$C:$C,MATCH($A175,Booking!$A:$A,0)),"")</f>
        <v>Kestrel Macro Fund</v>
      </c>
      <c r="E175" s="3" t="str">
        <f aca="false">IFERROR(INDEX(Confirmations!$C:$C,MATCH($A175,Confirmations!$A:$A,0)),"")</f>
        <v>Kestrel Macro Fund</v>
      </c>
      <c r="F175" s="14" t="n">
        <f aca="false">IFERROR(INDEX(Booking!$D:$D,MATCH($A175,Booking!$A:$A,0)),"")</f>
        <v>39000000</v>
      </c>
      <c r="G175" s="14" t="n">
        <f aca="false">IFERROR(INDEX(Confirmations!$D:$D,MATCH($A175,Confirmations!$A:$A,0)),"")</f>
        <v>39000000</v>
      </c>
      <c r="H175" s="15" t="n">
        <f aca="false">IFERROR(INDEX(Booking!$E:$E,MATCH($A175,Booking!$A:$A,0)),"")</f>
        <v>6.4451</v>
      </c>
      <c r="I175" s="15" t="n">
        <f aca="false">IFERROR(INDEX(Confirmations!$E:$E,MATCH($A175,Confirmations!$A:$A,0)),"")</f>
        <v>6.4451</v>
      </c>
      <c r="J175" s="3" t="n">
        <f aca="false">IFERROR(INDEX(Booking!$F:$F,MATCH($A175,Booking!$A:$A,0)),"")</f>
        <v>1</v>
      </c>
      <c r="K175" s="3" t="n">
        <f aca="false">IFERROR(INDEX(Confirmations!$F:$F,MATCH($A175,Confirmations!$A:$A,0)),"")</f>
        <v>1</v>
      </c>
      <c r="L175" s="3" t="str">
        <f aca="false">IF(NOT(C175),"Unconfirmed",IF(NOT(B175),"Unbooked",IF(D175&lt;&gt;E175,"Counterparty",IF(ABS(F175-G175)&gt;F175*Rules!$B$4/10000,"Notional",IF(H175&lt;&gt;I175,"Rate or price",IF(J175&lt;&gt;K175,"Value date","Matched"))))))</f>
        <v>Matched</v>
      </c>
      <c r="M175" s="3" t="n">
        <f aca="false">IF(B175,INDEX(Booking!$G:$G,MATCH(A175,Booking!$A:$A,0)),INDEX(Confirmations!$G:$G,MATCH(A175,Confirmations!$A:$A,0)))</f>
        <v>0</v>
      </c>
      <c r="N175" s="13" t="b">
        <f aca="false">AND(L175&lt;&gt;"Matched",M175&gt;Rules!$B$5)</f>
        <v>0</v>
      </c>
      <c r="O175" s="3" t="str">
        <f aca="false">INDEX(Rules!$B$8:$B$14,MATCH(L175,Rules!$A$8:$A$14,0))</f>
        <v>None</v>
      </c>
    </row>
    <row r="176" customFormat="false" ht="15" hidden="false" customHeight="false" outlineLevel="0" collapsed="false">
      <c r="A176" s="3" t="s">
        <v>217</v>
      </c>
      <c r="B176" s="13" t="b">
        <f aca="false">ISNUMBER(MATCH(A176,Booking!$A:$A,0))</f>
        <v>1</v>
      </c>
      <c r="C176" s="13" t="b">
        <f aca="false">ISNUMBER(MATCH(A176,Confirmations!$A:$A,0))</f>
        <v>1</v>
      </c>
      <c r="D176" s="3" t="str">
        <f aca="false">IFERROR(INDEX(Booking!$C:$C,MATCH($A176,Booking!$A:$A,0)),"")</f>
        <v>Kestrel Macro Fund</v>
      </c>
      <c r="E176" s="3" t="str">
        <f aca="false">IFERROR(INDEX(Confirmations!$C:$C,MATCH($A176,Confirmations!$A:$A,0)),"")</f>
        <v>Kestrel Macro Fund</v>
      </c>
      <c r="F176" s="14" t="n">
        <f aca="false">IFERROR(INDEX(Booking!$D:$D,MATCH($A176,Booking!$A:$A,0)),"")</f>
        <v>32000000</v>
      </c>
      <c r="G176" s="14" t="n">
        <f aca="false">IFERROR(INDEX(Confirmations!$D:$D,MATCH($A176,Confirmations!$A:$A,0)),"")</f>
        <v>32000000</v>
      </c>
      <c r="H176" s="15" t="n">
        <f aca="false">IFERROR(INDEX(Booking!$E:$E,MATCH($A176,Booking!$A:$A,0)),"")</f>
        <v>3.3364</v>
      </c>
      <c r="I176" s="15" t="n">
        <f aca="false">IFERROR(INDEX(Confirmations!$E:$E,MATCH($A176,Confirmations!$A:$A,0)),"")</f>
        <v>3.3364</v>
      </c>
      <c r="J176" s="3" t="n">
        <f aca="false">IFERROR(INDEX(Booking!$F:$F,MATCH($A176,Booking!$A:$A,0)),"")</f>
        <v>1</v>
      </c>
      <c r="K176" s="3" t="n">
        <f aca="false">IFERROR(INDEX(Confirmations!$F:$F,MATCH($A176,Confirmations!$A:$A,0)),"")</f>
        <v>1</v>
      </c>
      <c r="L176" s="3" t="str">
        <f aca="false">IF(NOT(C176),"Unconfirmed",IF(NOT(B176),"Unbooked",IF(D176&lt;&gt;E176,"Counterparty",IF(ABS(F176-G176)&gt;F176*Rules!$B$4/10000,"Notional",IF(H176&lt;&gt;I176,"Rate or price",IF(J176&lt;&gt;K176,"Value date","Matched"))))))</f>
        <v>Matched</v>
      </c>
      <c r="M176" s="3" t="n">
        <f aca="false">IF(B176,INDEX(Booking!$G:$G,MATCH(A176,Booking!$A:$A,0)),INDEX(Confirmations!$G:$G,MATCH(A176,Confirmations!$A:$A,0)))</f>
        <v>0</v>
      </c>
      <c r="N176" s="13" t="b">
        <f aca="false">AND(L176&lt;&gt;"Matched",M176&gt;Rules!$B$5)</f>
        <v>0</v>
      </c>
      <c r="O176" s="3" t="str">
        <f aca="false">INDEX(Rules!$B$8:$B$14,MATCH(L176,Rules!$A$8:$A$14,0))</f>
        <v>None</v>
      </c>
    </row>
    <row r="177" customFormat="false" ht="15" hidden="false" customHeight="false" outlineLevel="0" collapsed="false">
      <c r="A177" s="3" t="s">
        <v>218</v>
      </c>
      <c r="B177" s="13" t="b">
        <f aca="false">ISNUMBER(MATCH(A177,Booking!$A:$A,0))</f>
        <v>1</v>
      </c>
      <c r="C177" s="13" t="b">
        <f aca="false">ISNUMBER(MATCH(A177,Confirmations!$A:$A,0))</f>
        <v>1</v>
      </c>
      <c r="D177" s="3" t="str">
        <f aca="false">IFERROR(INDEX(Booking!$C:$C,MATCH($A177,Booking!$A:$A,0)),"")</f>
        <v>Kestrel Macro Fund</v>
      </c>
      <c r="E177" s="3" t="str">
        <f aca="false">IFERROR(INDEX(Confirmations!$C:$C,MATCH($A177,Confirmations!$A:$A,0)),"")</f>
        <v>Kestrel Macro Fund</v>
      </c>
      <c r="F177" s="14" t="n">
        <f aca="false">IFERROR(INDEX(Booking!$D:$D,MATCH($A177,Booking!$A:$A,0)),"")</f>
        <v>38000000</v>
      </c>
      <c r="G177" s="14" t="n">
        <f aca="false">IFERROR(INDEX(Confirmations!$D:$D,MATCH($A177,Confirmations!$A:$A,0)),"")</f>
        <v>38000000</v>
      </c>
      <c r="H177" s="15" t="n">
        <f aca="false">IFERROR(INDEX(Booking!$E:$E,MATCH($A177,Booking!$A:$A,0)),"")</f>
        <v>6.1753</v>
      </c>
      <c r="I177" s="15" t="n">
        <f aca="false">IFERROR(INDEX(Confirmations!$E:$E,MATCH($A177,Confirmations!$A:$A,0)),"")</f>
        <v>6.1753</v>
      </c>
      <c r="J177" s="3" t="n">
        <f aca="false">IFERROR(INDEX(Booking!$F:$F,MATCH($A177,Booking!$A:$A,0)),"")</f>
        <v>1</v>
      </c>
      <c r="K177" s="3" t="n">
        <f aca="false">IFERROR(INDEX(Confirmations!$F:$F,MATCH($A177,Confirmations!$A:$A,0)),"")</f>
        <v>1</v>
      </c>
      <c r="L177" s="3" t="str">
        <f aca="false">IF(NOT(C177),"Unconfirmed",IF(NOT(B177),"Unbooked",IF(D177&lt;&gt;E177,"Counterparty",IF(ABS(F177-G177)&gt;F177*Rules!$B$4/10000,"Notional",IF(H177&lt;&gt;I177,"Rate or price",IF(J177&lt;&gt;K177,"Value date","Matched"))))))</f>
        <v>Matched</v>
      </c>
      <c r="M177" s="3" t="n">
        <f aca="false">IF(B177,INDEX(Booking!$G:$G,MATCH(A177,Booking!$A:$A,0)),INDEX(Confirmations!$G:$G,MATCH(A177,Confirmations!$A:$A,0)))</f>
        <v>1</v>
      </c>
      <c r="N177" s="13" t="b">
        <f aca="false">AND(L177&lt;&gt;"Matched",M177&gt;Rules!$B$5)</f>
        <v>0</v>
      </c>
      <c r="O177" s="3" t="str">
        <f aca="false">INDEX(Rules!$B$8:$B$14,MATCH(L177,Rules!$A$8:$A$14,0))</f>
        <v>None</v>
      </c>
    </row>
    <row r="178" customFormat="false" ht="15" hidden="false" customHeight="false" outlineLevel="0" collapsed="false">
      <c r="A178" s="3" t="s">
        <v>219</v>
      </c>
      <c r="B178" s="13" t="b">
        <f aca="false">ISNUMBER(MATCH(A178,Booking!$A:$A,0))</f>
        <v>1</v>
      </c>
      <c r="C178" s="13" t="b">
        <f aca="false">ISNUMBER(MATCH(A178,Confirmations!$A:$A,0))</f>
        <v>1</v>
      </c>
      <c r="D178" s="3" t="str">
        <f aca="false">IFERROR(INDEX(Booking!$C:$C,MATCH($A178,Booking!$A:$A,0)),"")</f>
        <v>Tarn Energy Trading</v>
      </c>
      <c r="E178" s="3" t="str">
        <f aca="false">IFERROR(INDEX(Confirmations!$C:$C,MATCH($A178,Confirmations!$A:$A,0)),"")</f>
        <v>Tarn Energy Trading</v>
      </c>
      <c r="F178" s="14" t="n">
        <f aca="false">IFERROR(INDEX(Booking!$D:$D,MATCH($A178,Booking!$A:$A,0)),"")</f>
        <v>12000000</v>
      </c>
      <c r="G178" s="14" t="n">
        <f aca="false">IFERROR(INDEX(Confirmations!$D:$D,MATCH($A178,Confirmations!$A:$A,0)),"")</f>
        <v>12000000</v>
      </c>
      <c r="H178" s="15" t="n">
        <f aca="false">IFERROR(INDEX(Booking!$E:$E,MATCH($A178,Booking!$A:$A,0)),"")</f>
        <v>6.6526</v>
      </c>
      <c r="I178" s="15" t="n">
        <f aca="false">IFERROR(INDEX(Confirmations!$E:$E,MATCH($A178,Confirmations!$A:$A,0)),"")</f>
        <v>6.6526</v>
      </c>
      <c r="J178" s="3" t="n">
        <f aca="false">IFERROR(INDEX(Booking!$F:$F,MATCH($A178,Booking!$A:$A,0)),"")</f>
        <v>1</v>
      </c>
      <c r="K178" s="3" t="n">
        <f aca="false">IFERROR(INDEX(Confirmations!$F:$F,MATCH($A178,Confirmations!$A:$A,0)),"")</f>
        <v>1</v>
      </c>
      <c r="L178" s="3" t="str">
        <f aca="false">IF(NOT(C178),"Unconfirmed",IF(NOT(B178),"Unbooked",IF(D178&lt;&gt;E178,"Counterparty",IF(ABS(F178-G178)&gt;F178*Rules!$B$4/10000,"Notional",IF(H178&lt;&gt;I178,"Rate or price",IF(J178&lt;&gt;K178,"Value date","Matched"))))))</f>
        <v>Matched</v>
      </c>
      <c r="M178" s="3" t="n">
        <f aca="false">IF(B178,INDEX(Booking!$G:$G,MATCH(A178,Booking!$A:$A,0)),INDEX(Confirmations!$G:$G,MATCH(A178,Confirmations!$A:$A,0)))</f>
        <v>6</v>
      </c>
      <c r="N178" s="13" t="b">
        <f aca="false">AND(L178&lt;&gt;"Matched",M178&gt;Rules!$B$5)</f>
        <v>0</v>
      </c>
      <c r="O178" s="3" t="str">
        <f aca="false">INDEX(Rules!$B$8:$B$14,MATCH(L178,Rules!$A$8:$A$14,0))</f>
        <v>None</v>
      </c>
    </row>
    <row r="179" customFormat="false" ht="15" hidden="false" customHeight="false" outlineLevel="0" collapsed="false">
      <c r="A179" s="3" t="s">
        <v>220</v>
      </c>
      <c r="B179" s="13" t="b">
        <f aca="false">ISNUMBER(MATCH(A179,Booking!$A:$A,0))</f>
        <v>1</v>
      </c>
      <c r="C179" s="13" t="b">
        <f aca="false">ISNUMBER(MATCH(A179,Confirmations!$A:$A,0))</f>
        <v>1</v>
      </c>
      <c r="D179" s="3" t="str">
        <f aca="false">IFERROR(INDEX(Booking!$C:$C,MATCH($A179,Booking!$A:$A,0)),"")</f>
        <v>Tarn Energy Trading</v>
      </c>
      <c r="E179" s="3" t="str">
        <f aca="false">IFERROR(INDEX(Confirmations!$C:$C,MATCH($A179,Confirmations!$A:$A,0)),"")</f>
        <v>Tarn Energy Trading</v>
      </c>
      <c r="F179" s="14" t="n">
        <f aca="false">IFERROR(INDEX(Booking!$D:$D,MATCH($A179,Booking!$A:$A,0)),"")</f>
        <v>1000000</v>
      </c>
      <c r="G179" s="14" t="n">
        <f aca="false">IFERROR(INDEX(Confirmations!$D:$D,MATCH($A179,Confirmations!$A:$A,0)),"")</f>
        <v>1000000</v>
      </c>
      <c r="H179" s="15" t="n">
        <f aca="false">IFERROR(INDEX(Booking!$E:$E,MATCH($A179,Booking!$A:$A,0)),"")</f>
        <v>1.3096</v>
      </c>
      <c r="I179" s="15" t="n">
        <f aca="false">IFERROR(INDEX(Confirmations!$E:$E,MATCH($A179,Confirmations!$A:$A,0)),"")</f>
        <v>1.3096</v>
      </c>
      <c r="J179" s="3" t="n">
        <f aca="false">IFERROR(INDEX(Booking!$F:$F,MATCH($A179,Booking!$A:$A,0)),"")</f>
        <v>1</v>
      </c>
      <c r="K179" s="3" t="n">
        <f aca="false">IFERROR(INDEX(Confirmations!$F:$F,MATCH($A179,Confirmations!$A:$A,0)),"")</f>
        <v>1</v>
      </c>
      <c r="L179" s="3" t="str">
        <f aca="false">IF(NOT(C179),"Unconfirmed",IF(NOT(B179),"Unbooked",IF(D179&lt;&gt;E179,"Counterparty",IF(ABS(F179-G179)&gt;F179*Rules!$B$4/10000,"Notional",IF(H179&lt;&gt;I179,"Rate or price",IF(J179&lt;&gt;K179,"Value date","Matched"))))))</f>
        <v>Matched</v>
      </c>
      <c r="M179" s="3" t="n">
        <f aca="false">IF(B179,INDEX(Booking!$G:$G,MATCH(A179,Booking!$A:$A,0)),INDEX(Confirmations!$G:$G,MATCH(A179,Confirmations!$A:$A,0)))</f>
        <v>6</v>
      </c>
      <c r="N179" s="13" t="b">
        <f aca="false">AND(L179&lt;&gt;"Matched",M179&gt;Rules!$B$5)</f>
        <v>0</v>
      </c>
      <c r="O179" s="3" t="str">
        <f aca="false">INDEX(Rules!$B$8:$B$14,MATCH(L179,Rules!$A$8:$A$14,0))</f>
        <v>None</v>
      </c>
    </row>
    <row r="180" customFormat="false" ht="15" hidden="false" customHeight="false" outlineLevel="0" collapsed="false">
      <c r="A180" s="3" t="s">
        <v>221</v>
      </c>
      <c r="B180" s="13" t="b">
        <f aca="false">ISNUMBER(MATCH(A180,Booking!$A:$A,0))</f>
        <v>1</v>
      </c>
      <c r="C180" s="13" t="b">
        <f aca="false">ISNUMBER(MATCH(A180,Confirmations!$A:$A,0))</f>
        <v>1</v>
      </c>
      <c r="D180" s="3" t="str">
        <f aca="false">IFERROR(INDEX(Booking!$C:$C,MATCH($A180,Booking!$A:$A,0)),"")</f>
        <v>Solent Asset Management</v>
      </c>
      <c r="E180" s="3" t="str">
        <f aca="false">IFERROR(INDEX(Confirmations!$C:$C,MATCH($A180,Confirmations!$A:$A,0)),"")</f>
        <v>Solent Asset Management</v>
      </c>
      <c r="F180" s="14" t="n">
        <f aca="false">IFERROR(INDEX(Booking!$D:$D,MATCH($A180,Booking!$A:$A,0)),"")</f>
        <v>30000000</v>
      </c>
      <c r="G180" s="14" t="n">
        <f aca="false">IFERROR(INDEX(Confirmations!$D:$D,MATCH($A180,Confirmations!$A:$A,0)),"")</f>
        <v>30000000</v>
      </c>
      <c r="H180" s="15" t="n">
        <f aca="false">IFERROR(INDEX(Booking!$E:$E,MATCH($A180,Booking!$A:$A,0)),"")</f>
        <v>4.0462</v>
      </c>
      <c r="I180" s="15" t="n">
        <f aca="false">IFERROR(INDEX(Confirmations!$E:$E,MATCH($A180,Confirmations!$A:$A,0)),"")</f>
        <v>4.0462</v>
      </c>
      <c r="J180" s="3" t="n">
        <f aca="false">IFERROR(INDEX(Booking!$F:$F,MATCH($A180,Booking!$A:$A,0)),"")</f>
        <v>2</v>
      </c>
      <c r="K180" s="3" t="n">
        <f aca="false">IFERROR(INDEX(Confirmations!$F:$F,MATCH($A180,Confirmations!$A:$A,0)),"")</f>
        <v>2</v>
      </c>
      <c r="L180" s="3" t="str">
        <f aca="false">IF(NOT(C180),"Unconfirmed",IF(NOT(B180),"Unbooked",IF(D180&lt;&gt;E180,"Counterparty",IF(ABS(F180-G180)&gt;F180*Rules!$B$4/10000,"Notional",IF(H180&lt;&gt;I180,"Rate or price",IF(J180&lt;&gt;K180,"Value date","Matched"))))))</f>
        <v>Matched</v>
      </c>
      <c r="M180" s="3" t="n">
        <f aca="false">IF(B180,INDEX(Booking!$G:$G,MATCH(A180,Booking!$A:$A,0)),INDEX(Confirmations!$G:$G,MATCH(A180,Confirmations!$A:$A,0)))</f>
        <v>5</v>
      </c>
      <c r="N180" s="13" t="b">
        <f aca="false">AND(L180&lt;&gt;"Matched",M180&gt;Rules!$B$5)</f>
        <v>0</v>
      </c>
      <c r="O180" s="3" t="str">
        <f aca="false">INDEX(Rules!$B$8:$B$14,MATCH(L180,Rules!$A$8:$A$14,0))</f>
        <v>None</v>
      </c>
    </row>
    <row r="181" customFormat="false" ht="15" hidden="false" customHeight="false" outlineLevel="0" collapsed="false">
      <c r="A181" s="3" t="s">
        <v>222</v>
      </c>
      <c r="B181" s="13" t="b">
        <f aca="false">ISNUMBER(MATCH(A181,Booking!$A:$A,0))</f>
        <v>1</v>
      </c>
      <c r="C181" s="13" t="b">
        <f aca="false">ISNUMBER(MATCH(A181,Confirmations!$A:$A,0))</f>
        <v>1</v>
      </c>
      <c r="D181" s="3" t="str">
        <f aca="false">IFERROR(INDEX(Booking!$C:$C,MATCH($A181,Booking!$A:$A,0)),"")</f>
        <v>Aldridge Capital</v>
      </c>
      <c r="E181" s="3" t="str">
        <f aca="false">IFERROR(INDEX(Confirmations!$C:$C,MATCH($A181,Confirmations!$A:$A,0)),"")</f>
        <v>Aldridge Capital</v>
      </c>
      <c r="F181" s="14" t="n">
        <f aca="false">IFERROR(INDEX(Booking!$D:$D,MATCH($A181,Booking!$A:$A,0)),"")</f>
        <v>41000000</v>
      </c>
      <c r="G181" s="14" t="n">
        <f aca="false">IFERROR(INDEX(Confirmations!$D:$D,MATCH($A181,Confirmations!$A:$A,0)),"")</f>
        <v>41000000</v>
      </c>
      <c r="H181" s="15" t="n">
        <f aca="false">IFERROR(INDEX(Booking!$E:$E,MATCH($A181,Booking!$A:$A,0)),"")</f>
        <v>5.6913</v>
      </c>
      <c r="I181" s="15" t="n">
        <f aca="false">IFERROR(INDEX(Confirmations!$E:$E,MATCH($A181,Confirmations!$A:$A,0)),"")</f>
        <v>5.6913</v>
      </c>
      <c r="J181" s="3" t="n">
        <f aca="false">IFERROR(INDEX(Booking!$F:$F,MATCH($A181,Booking!$A:$A,0)),"")</f>
        <v>1</v>
      </c>
      <c r="K181" s="3" t="n">
        <f aca="false">IFERROR(INDEX(Confirmations!$F:$F,MATCH($A181,Confirmations!$A:$A,0)),"")</f>
        <v>1</v>
      </c>
      <c r="L181" s="3" t="str">
        <f aca="false">IF(NOT(C181),"Unconfirmed",IF(NOT(B181),"Unbooked",IF(D181&lt;&gt;E181,"Counterparty",IF(ABS(F181-G181)&gt;F181*Rules!$B$4/10000,"Notional",IF(H181&lt;&gt;I181,"Rate or price",IF(J181&lt;&gt;K181,"Value date","Matched"))))))</f>
        <v>Matched</v>
      </c>
      <c r="M181" s="3" t="n">
        <f aca="false">IF(B181,INDEX(Booking!$G:$G,MATCH(A181,Booking!$A:$A,0)),INDEX(Confirmations!$G:$G,MATCH(A181,Confirmations!$A:$A,0)))</f>
        <v>4</v>
      </c>
      <c r="N181" s="13" t="b">
        <f aca="false">AND(L181&lt;&gt;"Matched",M181&gt;Rules!$B$5)</f>
        <v>0</v>
      </c>
      <c r="O181" s="3" t="str">
        <f aca="false">INDEX(Rules!$B$8:$B$14,MATCH(L181,Rules!$A$8:$A$14,0))</f>
        <v>None</v>
      </c>
    </row>
    <row r="182" customFormat="false" ht="15" hidden="false" customHeight="false" outlineLevel="0" collapsed="false">
      <c r="A182" s="3" t="s">
        <v>223</v>
      </c>
      <c r="B182" s="13" t="b">
        <f aca="false">ISNUMBER(MATCH(A182,Booking!$A:$A,0))</f>
        <v>1</v>
      </c>
      <c r="C182" s="13" t="b">
        <f aca="false">ISNUMBER(MATCH(A182,Confirmations!$A:$A,0))</f>
        <v>1</v>
      </c>
      <c r="D182" s="3" t="str">
        <f aca="false">IFERROR(INDEX(Booking!$C:$C,MATCH($A182,Booking!$A:$A,0)),"")</f>
        <v>Aldridge Capital</v>
      </c>
      <c r="E182" s="3" t="str">
        <f aca="false">IFERROR(INDEX(Confirmations!$C:$C,MATCH($A182,Confirmations!$A:$A,0)),"")</f>
        <v>Aldridge Capital</v>
      </c>
      <c r="F182" s="14" t="n">
        <f aca="false">IFERROR(INDEX(Booking!$D:$D,MATCH($A182,Booking!$A:$A,0)),"")</f>
        <v>7000000</v>
      </c>
      <c r="G182" s="14" t="n">
        <f aca="false">IFERROR(INDEX(Confirmations!$D:$D,MATCH($A182,Confirmations!$A:$A,0)),"")</f>
        <v>7000000</v>
      </c>
      <c r="H182" s="15" t="n">
        <f aca="false">IFERROR(INDEX(Booking!$E:$E,MATCH($A182,Booking!$A:$A,0)),"")</f>
        <v>4.2014</v>
      </c>
      <c r="I182" s="15" t="n">
        <f aca="false">IFERROR(INDEX(Confirmations!$E:$E,MATCH($A182,Confirmations!$A:$A,0)),"")</f>
        <v>4.2014</v>
      </c>
      <c r="J182" s="3" t="n">
        <f aca="false">IFERROR(INDEX(Booking!$F:$F,MATCH($A182,Booking!$A:$A,0)),"")</f>
        <v>3</v>
      </c>
      <c r="K182" s="3" t="n">
        <f aca="false">IFERROR(INDEX(Confirmations!$F:$F,MATCH($A182,Confirmations!$A:$A,0)),"")</f>
        <v>3</v>
      </c>
      <c r="L182" s="3" t="str">
        <f aca="false">IF(NOT(C182),"Unconfirmed",IF(NOT(B182),"Unbooked",IF(D182&lt;&gt;E182,"Counterparty",IF(ABS(F182-G182)&gt;F182*Rules!$B$4/10000,"Notional",IF(H182&lt;&gt;I182,"Rate or price",IF(J182&lt;&gt;K182,"Value date","Matched"))))))</f>
        <v>Matched</v>
      </c>
      <c r="M182" s="3" t="n">
        <f aca="false">IF(B182,INDEX(Booking!$G:$G,MATCH(A182,Booking!$A:$A,0)),INDEX(Confirmations!$G:$G,MATCH(A182,Confirmations!$A:$A,0)))</f>
        <v>2</v>
      </c>
      <c r="N182" s="13" t="b">
        <f aca="false">AND(L182&lt;&gt;"Matched",M182&gt;Rules!$B$5)</f>
        <v>0</v>
      </c>
      <c r="O182" s="3" t="str">
        <f aca="false">INDEX(Rules!$B$8:$B$14,MATCH(L182,Rules!$A$8:$A$14,0))</f>
        <v>None</v>
      </c>
    </row>
    <row r="183" customFormat="false" ht="15" hidden="false" customHeight="false" outlineLevel="0" collapsed="false">
      <c r="A183" s="3" t="s">
        <v>224</v>
      </c>
      <c r="B183" s="13" t="b">
        <f aca="false">ISNUMBER(MATCH(A183,Booking!$A:$A,0))</f>
        <v>1</v>
      </c>
      <c r="C183" s="13" t="b">
        <f aca="false">ISNUMBER(MATCH(A183,Confirmations!$A:$A,0))</f>
        <v>1</v>
      </c>
      <c r="D183" s="3" t="str">
        <f aca="false">IFERROR(INDEX(Booking!$C:$C,MATCH($A183,Booking!$A:$A,0)),"")</f>
        <v>Vale Corporate Treasury</v>
      </c>
      <c r="E183" s="3" t="str">
        <f aca="false">IFERROR(INDEX(Confirmations!$C:$C,MATCH($A183,Confirmations!$A:$A,0)),"")</f>
        <v>Vale Corporate Treasury</v>
      </c>
      <c r="F183" s="14" t="n">
        <f aca="false">IFERROR(INDEX(Booking!$D:$D,MATCH($A183,Booking!$A:$A,0)),"")</f>
        <v>43000000</v>
      </c>
      <c r="G183" s="14" t="n">
        <f aca="false">IFERROR(INDEX(Confirmations!$D:$D,MATCH($A183,Confirmations!$A:$A,0)),"")</f>
        <v>43000000</v>
      </c>
      <c r="H183" s="15" t="n">
        <f aca="false">IFERROR(INDEX(Booking!$E:$E,MATCH($A183,Booking!$A:$A,0)),"")</f>
        <v>5.8467</v>
      </c>
      <c r="I183" s="15" t="n">
        <f aca="false">IFERROR(INDEX(Confirmations!$E:$E,MATCH($A183,Confirmations!$A:$A,0)),"")</f>
        <v>5.8467</v>
      </c>
      <c r="J183" s="3" t="n">
        <f aca="false">IFERROR(INDEX(Booking!$F:$F,MATCH($A183,Booking!$A:$A,0)),"")</f>
        <v>3</v>
      </c>
      <c r="K183" s="3" t="n">
        <f aca="false">IFERROR(INDEX(Confirmations!$F:$F,MATCH($A183,Confirmations!$A:$A,0)),"")</f>
        <v>3</v>
      </c>
      <c r="L183" s="3" t="str">
        <f aca="false">IF(NOT(C183),"Unconfirmed",IF(NOT(B183),"Unbooked",IF(D183&lt;&gt;E183,"Counterparty",IF(ABS(F183-G183)&gt;F183*Rules!$B$4/10000,"Notional",IF(H183&lt;&gt;I183,"Rate or price",IF(J183&lt;&gt;K183,"Value date","Matched"))))))</f>
        <v>Matched</v>
      </c>
      <c r="M183" s="3" t="n">
        <f aca="false">IF(B183,INDEX(Booking!$G:$G,MATCH(A183,Booking!$A:$A,0)),INDEX(Confirmations!$G:$G,MATCH(A183,Confirmations!$A:$A,0)))</f>
        <v>1</v>
      </c>
      <c r="N183" s="13" t="b">
        <f aca="false">AND(L183&lt;&gt;"Matched",M183&gt;Rules!$B$5)</f>
        <v>0</v>
      </c>
      <c r="O183" s="3" t="str">
        <f aca="false">INDEX(Rules!$B$8:$B$14,MATCH(L183,Rules!$A$8:$A$14,0))</f>
        <v>None</v>
      </c>
    </row>
    <row r="184" customFormat="false" ht="15" hidden="false" customHeight="false" outlineLevel="0" collapsed="false">
      <c r="A184" s="3" t="s">
        <v>225</v>
      </c>
      <c r="B184" s="13" t="b">
        <f aca="false">ISNUMBER(MATCH(A184,Booking!$A:$A,0))</f>
        <v>1</v>
      </c>
      <c r="C184" s="13" t="b">
        <f aca="false">ISNUMBER(MATCH(A184,Confirmations!$A:$A,0))</f>
        <v>1</v>
      </c>
      <c r="D184" s="3" t="str">
        <f aca="false">IFERROR(INDEX(Booking!$C:$C,MATCH($A184,Booking!$A:$A,0)),"")</f>
        <v>Northbay Pension Fund</v>
      </c>
      <c r="E184" s="3" t="str">
        <f aca="false">IFERROR(INDEX(Confirmations!$C:$C,MATCH($A184,Confirmations!$A:$A,0)),"")</f>
        <v>Northbay Pension Fund</v>
      </c>
      <c r="F184" s="14" t="n">
        <f aca="false">IFERROR(INDEX(Booking!$D:$D,MATCH($A184,Booking!$A:$A,0)),"")</f>
        <v>12000000</v>
      </c>
      <c r="G184" s="14" t="n">
        <f aca="false">IFERROR(INDEX(Confirmations!$D:$D,MATCH($A184,Confirmations!$A:$A,0)),"")</f>
        <v>12000000</v>
      </c>
      <c r="H184" s="15" t="n">
        <f aca="false">IFERROR(INDEX(Booking!$E:$E,MATCH($A184,Booking!$A:$A,0)),"")</f>
        <v>5.0444</v>
      </c>
      <c r="I184" s="15" t="n">
        <f aca="false">IFERROR(INDEX(Confirmations!$E:$E,MATCH($A184,Confirmations!$A:$A,0)),"")</f>
        <v>5.0444</v>
      </c>
      <c r="J184" s="3" t="n">
        <f aca="false">IFERROR(INDEX(Booking!$F:$F,MATCH($A184,Booking!$A:$A,0)),"")</f>
        <v>1</v>
      </c>
      <c r="K184" s="3" t="n">
        <f aca="false">IFERROR(INDEX(Confirmations!$F:$F,MATCH($A184,Confirmations!$A:$A,0)),"")</f>
        <v>1</v>
      </c>
      <c r="L184" s="3" t="str">
        <f aca="false">IF(NOT(C184),"Unconfirmed",IF(NOT(B184),"Unbooked",IF(D184&lt;&gt;E184,"Counterparty",IF(ABS(F184-G184)&gt;F184*Rules!$B$4/10000,"Notional",IF(H184&lt;&gt;I184,"Rate or price",IF(J184&lt;&gt;K184,"Value date","Matched"))))))</f>
        <v>Matched</v>
      </c>
      <c r="M184" s="3" t="n">
        <f aca="false">IF(B184,INDEX(Booking!$G:$G,MATCH(A184,Booking!$A:$A,0)),INDEX(Confirmations!$G:$G,MATCH(A184,Confirmations!$A:$A,0)))</f>
        <v>1</v>
      </c>
      <c r="N184" s="13" t="b">
        <f aca="false">AND(L184&lt;&gt;"Matched",M184&gt;Rules!$B$5)</f>
        <v>0</v>
      </c>
      <c r="O184" s="3" t="str">
        <f aca="false">INDEX(Rules!$B$8:$B$14,MATCH(L184,Rules!$A$8:$A$14,0))</f>
        <v>None</v>
      </c>
    </row>
    <row r="185" customFormat="false" ht="15" hidden="false" customHeight="false" outlineLevel="0" collapsed="false">
      <c r="A185" s="3" t="s">
        <v>226</v>
      </c>
      <c r="B185" s="13" t="b">
        <f aca="false">ISNUMBER(MATCH(A185,Booking!$A:$A,0))</f>
        <v>1</v>
      </c>
      <c r="C185" s="13" t="b">
        <f aca="false">ISNUMBER(MATCH(A185,Confirmations!$A:$A,0))</f>
        <v>1</v>
      </c>
      <c r="D185" s="3" t="str">
        <f aca="false">IFERROR(INDEX(Booking!$C:$C,MATCH($A185,Booking!$A:$A,0)),"")</f>
        <v>Vale Corporate Treasury</v>
      </c>
      <c r="E185" s="3" t="str">
        <f aca="false">IFERROR(INDEX(Confirmations!$C:$C,MATCH($A185,Confirmations!$A:$A,0)),"")</f>
        <v>Vale Corporate Treasury</v>
      </c>
      <c r="F185" s="14" t="n">
        <f aca="false">IFERROR(INDEX(Booking!$D:$D,MATCH($A185,Booking!$A:$A,0)),"")</f>
        <v>37000000</v>
      </c>
      <c r="G185" s="14" t="n">
        <f aca="false">IFERROR(INDEX(Confirmations!$D:$D,MATCH($A185,Confirmations!$A:$A,0)),"")</f>
        <v>37000000</v>
      </c>
      <c r="H185" s="15" t="n">
        <f aca="false">IFERROR(INDEX(Booking!$E:$E,MATCH($A185,Booking!$A:$A,0)),"")</f>
        <v>5.9496</v>
      </c>
      <c r="I185" s="15" t="n">
        <f aca="false">IFERROR(INDEX(Confirmations!$E:$E,MATCH($A185,Confirmations!$A:$A,0)),"")</f>
        <v>5.9496</v>
      </c>
      <c r="J185" s="3" t="n">
        <f aca="false">IFERROR(INDEX(Booking!$F:$F,MATCH($A185,Booking!$A:$A,0)),"")</f>
        <v>2</v>
      </c>
      <c r="K185" s="3" t="n">
        <f aca="false">IFERROR(INDEX(Confirmations!$F:$F,MATCH($A185,Confirmations!$A:$A,0)),"")</f>
        <v>2</v>
      </c>
      <c r="L185" s="3" t="str">
        <f aca="false">IF(NOT(C185),"Unconfirmed",IF(NOT(B185),"Unbooked",IF(D185&lt;&gt;E185,"Counterparty",IF(ABS(F185-G185)&gt;F185*Rules!$B$4/10000,"Notional",IF(H185&lt;&gt;I185,"Rate or price",IF(J185&lt;&gt;K185,"Value date","Matched"))))))</f>
        <v>Matched</v>
      </c>
      <c r="M185" s="3" t="n">
        <f aca="false">IF(B185,INDEX(Booking!$G:$G,MATCH(A185,Booking!$A:$A,0)),INDEX(Confirmations!$G:$G,MATCH(A185,Confirmations!$A:$A,0)))</f>
        <v>1</v>
      </c>
      <c r="N185" s="13" t="b">
        <f aca="false">AND(L185&lt;&gt;"Matched",M185&gt;Rules!$B$5)</f>
        <v>0</v>
      </c>
      <c r="O185" s="3" t="str">
        <f aca="false">INDEX(Rules!$B$8:$B$14,MATCH(L185,Rules!$A$8:$A$14,0))</f>
        <v>None</v>
      </c>
    </row>
    <row r="186" customFormat="false" ht="15" hidden="false" customHeight="false" outlineLevel="0" collapsed="false">
      <c r="A186" s="3" t="s">
        <v>227</v>
      </c>
      <c r="B186" s="13" t="b">
        <f aca="false">ISNUMBER(MATCH(A186,Booking!$A:$A,0))</f>
        <v>1</v>
      </c>
      <c r="C186" s="13" t="b">
        <f aca="false">ISNUMBER(MATCH(A186,Confirmations!$A:$A,0))</f>
        <v>1</v>
      </c>
      <c r="D186" s="3" t="str">
        <f aca="false">IFERROR(INDEX(Booking!$C:$C,MATCH($A186,Booking!$A:$A,0)),"")</f>
        <v>Northbay Pension Fund</v>
      </c>
      <c r="E186" s="3" t="str">
        <f aca="false">IFERROR(INDEX(Confirmations!$C:$C,MATCH($A186,Confirmations!$A:$A,0)),"")</f>
        <v>Kestrel Macro Fund</v>
      </c>
      <c r="F186" s="14" t="n">
        <f aca="false">IFERROR(INDEX(Booking!$D:$D,MATCH($A186,Booking!$A:$A,0)),"")</f>
        <v>7000000</v>
      </c>
      <c r="G186" s="14" t="n">
        <f aca="false">IFERROR(INDEX(Confirmations!$D:$D,MATCH($A186,Confirmations!$A:$A,0)),"")</f>
        <v>7000000</v>
      </c>
      <c r="H186" s="15" t="n">
        <f aca="false">IFERROR(INDEX(Booking!$E:$E,MATCH($A186,Booking!$A:$A,0)),"")</f>
        <v>5.6911</v>
      </c>
      <c r="I186" s="15" t="n">
        <f aca="false">IFERROR(INDEX(Confirmations!$E:$E,MATCH($A186,Confirmations!$A:$A,0)),"")</f>
        <v>5.6911</v>
      </c>
      <c r="J186" s="3" t="n">
        <f aca="false">IFERROR(INDEX(Booking!$F:$F,MATCH($A186,Booking!$A:$A,0)),"")</f>
        <v>3</v>
      </c>
      <c r="K186" s="3" t="n">
        <f aca="false">IFERROR(INDEX(Confirmations!$F:$F,MATCH($A186,Confirmations!$A:$A,0)),"")</f>
        <v>3</v>
      </c>
      <c r="L186" s="3" t="str">
        <f aca="false">IF(NOT(C186),"Unconfirmed",IF(NOT(B186),"Unbooked",IF(D186&lt;&gt;E186,"Counterparty",IF(ABS(F186-G186)&gt;F186*Rules!$B$4/10000,"Notional",IF(H186&lt;&gt;I186,"Rate or price",IF(J186&lt;&gt;K186,"Value date","Matched"))))))</f>
        <v>Counterparty</v>
      </c>
      <c r="M186" s="3" t="n">
        <f aca="false">IF(B186,INDEX(Booking!$G:$G,MATCH(A186,Booking!$A:$A,0)),INDEX(Confirmations!$G:$G,MATCH(A186,Confirmations!$A:$A,0)))</f>
        <v>2</v>
      </c>
      <c r="N186" s="13" t="b">
        <f aca="false">AND(L186&lt;&gt;"Matched",M186&gt;Rules!$B$5)</f>
        <v>0</v>
      </c>
      <c r="O186" s="3" t="str">
        <f aca="false">INDEX(Rules!$B$8:$B$14,MATCH(L186,Rules!$A$8:$A$14,0))</f>
        <v>Static data: correct legal entity</v>
      </c>
    </row>
    <row r="187" customFormat="false" ht="15" hidden="false" customHeight="false" outlineLevel="0" collapsed="false">
      <c r="A187" s="3" t="s">
        <v>228</v>
      </c>
      <c r="B187" s="13" t="b">
        <f aca="false">ISNUMBER(MATCH(A187,Booking!$A:$A,0))</f>
        <v>1</v>
      </c>
      <c r="C187" s="13" t="b">
        <f aca="false">ISNUMBER(MATCH(A187,Confirmations!$A:$A,0))</f>
        <v>1</v>
      </c>
      <c r="D187" s="3" t="str">
        <f aca="false">IFERROR(INDEX(Booking!$C:$C,MATCH($A187,Booking!$A:$A,0)),"")</f>
        <v>Aldridge Capital</v>
      </c>
      <c r="E187" s="3" t="str">
        <f aca="false">IFERROR(INDEX(Confirmations!$C:$C,MATCH($A187,Confirmations!$A:$A,0)),"")</f>
        <v>Aldridge Capital</v>
      </c>
      <c r="F187" s="14" t="n">
        <f aca="false">IFERROR(INDEX(Booking!$D:$D,MATCH($A187,Booking!$A:$A,0)),"")</f>
        <v>19000000</v>
      </c>
      <c r="G187" s="14" t="n">
        <f aca="false">IFERROR(INDEX(Confirmations!$D:$D,MATCH($A187,Confirmations!$A:$A,0)),"")</f>
        <v>19000000</v>
      </c>
      <c r="H187" s="15" t="n">
        <f aca="false">IFERROR(INDEX(Booking!$E:$E,MATCH($A187,Booking!$A:$A,0)),"")</f>
        <v>1.638</v>
      </c>
      <c r="I187" s="15" t="n">
        <f aca="false">IFERROR(INDEX(Confirmations!$E:$E,MATCH($A187,Confirmations!$A:$A,0)),"")</f>
        <v>1.638</v>
      </c>
      <c r="J187" s="3" t="n">
        <f aca="false">IFERROR(INDEX(Booking!$F:$F,MATCH($A187,Booking!$A:$A,0)),"")</f>
        <v>2</v>
      </c>
      <c r="K187" s="3" t="n">
        <f aca="false">IFERROR(INDEX(Confirmations!$F:$F,MATCH($A187,Confirmations!$A:$A,0)),"")</f>
        <v>2</v>
      </c>
      <c r="L187" s="3" t="str">
        <f aca="false">IF(NOT(C187),"Unconfirmed",IF(NOT(B187),"Unbooked",IF(D187&lt;&gt;E187,"Counterparty",IF(ABS(F187-G187)&gt;F187*Rules!$B$4/10000,"Notional",IF(H187&lt;&gt;I187,"Rate or price",IF(J187&lt;&gt;K187,"Value date","Matched"))))))</f>
        <v>Matched</v>
      </c>
      <c r="M187" s="3" t="n">
        <f aca="false">IF(B187,INDEX(Booking!$G:$G,MATCH(A187,Booking!$A:$A,0)),INDEX(Confirmations!$G:$G,MATCH(A187,Confirmations!$A:$A,0)))</f>
        <v>0</v>
      </c>
      <c r="N187" s="13" t="b">
        <f aca="false">AND(L187&lt;&gt;"Matched",M187&gt;Rules!$B$5)</f>
        <v>0</v>
      </c>
      <c r="O187" s="3" t="str">
        <f aca="false">INDEX(Rules!$B$8:$B$14,MATCH(L187,Rules!$A$8:$A$14,0))</f>
        <v>None</v>
      </c>
    </row>
    <row r="188" customFormat="false" ht="15" hidden="false" customHeight="false" outlineLevel="0" collapsed="false">
      <c r="A188" s="3" t="s">
        <v>229</v>
      </c>
      <c r="B188" s="13" t="b">
        <f aca="false">ISNUMBER(MATCH(A188,Booking!$A:$A,0))</f>
        <v>1</v>
      </c>
      <c r="C188" s="13" t="b">
        <f aca="false">ISNUMBER(MATCH(A188,Confirmations!$A:$A,0))</f>
        <v>1</v>
      </c>
      <c r="D188" s="3" t="str">
        <f aca="false">IFERROR(INDEX(Booking!$C:$C,MATCH($A188,Booking!$A:$A,0)),"")</f>
        <v>Solent Asset Management</v>
      </c>
      <c r="E188" s="3" t="str">
        <f aca="false">IFERROR(INDEX(Confirmations!$C:$C,MATCH($A188,Confirmations!$A:$A,0)),"")</f>
        <v>Solent Asset Management</v>
      </c>
      <c r="F188" s="14" t="n">
        <f aca="false">IFERROR(INDEX(Booking!$D:$D,MATCH($A188,Booking!$A:$A,0)),"")</f>
        <v>2000000</v>
      </c>
      <c r="G188" s="14" t="n">
        <f aca="false">IFERROR(INDEX(Confirmations!$D:$D,MATCH($A188,Confirmations!$A:$A,0)),"")</f>
        <v>2000000</v>
      </c>
      <c r="H188" s="15" t="n">
        <f aca="false">IFERROR(INDEX(Booking!$E:$E,MATCH($A188,Booking!$A:$A,0)),"")</f>
        <v>6.4498</v>
      </c>
      <c r="I188" s="15" t="n">
        <f aca="false">IFERROR(INDEX(Confirmations!$E:$E,MATCH($A188,Confirmations!$A:$A,0)),"")</f>
        <v>6.4498</v>
      </c>
      <c r="J188" s="3" t="n">
        <f aca="false">IFERROR(INDEX(Booking!$F:$F,MATCH($A188,Booking!$A:$A,0)),"")</f>
        <v>2</v>
      </c>
      <c r="K188" s="3" t="n">
        <f aca="false">IFERROR(INDEX(Confirmations!$F:$F,MATCH($A188,Confirmations!$A:$A,0)),"")</f>
        <v>2</v>
      </c>
      <c r="L188" s="3" t="str">
        <f aca="false">IF(NOT(C188),"Unconfirmed",IF(NOT(B188),"Unbooked",IF(D188&lt;&gt;E188,"Counterparty",IF(ABS(F188-G188)&gt;F188*Rules!$B$4/10000,"Notional",IF(H188&lt;&gt;I188,"Rate or price",IF(J188&lt;&gt;K188,"Value date","Matched"))))))</f>
        <v>Matched</v>
      </c>
      <c r="M188" s="3" t="n">
        <f aca="false">IF(B188,INDEX(Booking!$G:$G,MATCH(A188,Booking!$A:$A,0)),INDEX(Confirmations!$G:$G,MATCH(A188,Confirmations!$A:$A,0)))</f>
        <v>0</v>
      </c>
      <c r="N188" s="13" t="b">
        <f aca="false">AND(L188&lt;&gt;"Matched",M188&gt;Rules!$B$5)</f>
        <v>0</v>
      </c>
      <c r="O188" s="3" t="str">
        <f aca="false">INDEX(Rules!$B$8:$B$14,MATCH(L188,Rules!$A$8:$A$14,0))</f>
        <v>None</v>
      </c>
    </row>
    <row r="189" customFormat="false" ht="15" hidden="false" customHeight="false" outlineLevel="0" collapsed="false">
      <c r="A189" s="3" t="s">
        <v>230</v>
      </c>
      <c r="B189" s="13" t="b">
        <f aca="false">ISNUMBER(MATCH(A189,Booking!$A:$A,0))</f>
        <v>1</v>
      </c>
      <c r="C189" s="13" t="b">
        <f aca="false">ISNUMBER(MATCH(A189,Confirmations!$A:$A,0))</f>
        <v>1</v>
      </c>
      <c r="D189" s="3" t="str">
        <f aca="false">IFERROR(INDEX(Booking!$C:$C,MATCH($A189,Booking!$A:$A,0)),"")</f>
        <v>Meridian Bank</v>
      </c>
      <c r="E189" s="3" t="str">
        <f aca="false">IFERROR(INDEX(Confirmations!$C:$C,MATCH($A189,Confirmations!$A:$A,0)),"")</f>
        <v>Meridian Bank</v>
      </c>
      <c r="F189" s="14" t="n">
        <f aca="false">IFERROR(INDEX(Booking!$D:$D,MATCH($A189,Booking!$A:$A,0)),"")</f>
        <v>5000000</v>
      </c>
      <c r="G189" s="14" t="n">
        <f aca="false">IFERROR(INDEX(Confirmations!$D:$D,MATCH($A189,Confirmations!$A:$A,0)),"")</f>
        <v>5000000</v>
      </c>
      <c r="H189" s="15" t="n">
        <f aca="false">IFERROR(INDEX(Booking!$E:$E,MATCH($A189,Booking!$A:$A,0)),"")</f>
        <v>2.7008</v>
      </c>
      <c r="I189" s="15" t="n">
        <f aca="false">IFERROR(INDEX(Confirmations!$E:$E,MATCH($A189,Confirmations!$A:$A,0)),"")</f>
        <v>2.7008</v>
      </c>
      <c r="J189" s="3" t="n">
        <f aca="false">IFERROR(INDEX(Booking!$F:$F,MATCH($A189,Booking!$A:$A,0)),"")</f>
        <v>1</v>
      </c>
      <c r="K189" s="3" t="n">
        <f aca="false">IFERROR(INDEX(Confirmations!$F:$F,MATCH($A189,Confirmations!$A:$A,0)),"")</f>
        <v>1</v>
      </c>
      <c r="L189" s="3" t="str">
        <f aca="false">IF(NOT(C189),"Unconfirmed",IF(NOT(B189),"Unbooked",IF(D189&lt;&gt;E189,"Counterparty",IF(ABS(F189-G189)&gt;F189*Rules!$B$4/10000,"Notional",IF(H189&lt;&gt;I189,"Rate or price",IF(J189&lt;&gt;K189,"Value date","Matched"))))))</f>
        <v>Matched</v>
      </c>
      <c r="M189" s="3" t="n">
        <f aca="false">IF(B189,INDEX(Booking!$G:$G,MATCH(A189,Booking!$A:$A,0)),INDEX(Confirmations!$G:$G,MATCH(A189,Confirmations!$A:$A,0)))</f>
        <v>0</v>
      </c>
      <c r="N189" s="13" t="b">
        <f aca="false">AND(L189&lt;&gt;"Matched",M189&gt;Rules!$B$5)</f>
        <v>0</v>
      </c>
      <c r="O189" s="3" t="str">
        <f aca="false">INDEX(Rules!$B$8:$B$14,MATCH(L189,Rules!$A$8:$A$14,0))</f>
        <v>None</v>
      </c>
    </row>
    <row r="190" customFormat="false" ht="15" hidden="false" customHeight="false" outlineLevel="0" collapsed="false">
      <c r="A190" s="3" t="s">
        <v>231</v>
      </c>
      <c r="B190" s="13" t="b">
        <f aca="false">ISNUMBER(MATCH(A190,Booking!$A:$A,0))</f>
        <v>1</v>
      </c>
      <c r="C190" s="13" t="b">
        <f aca="false">ISNUMBER(MATCH(A190,Confirmations!$A:$A,0))</f>
        <v>0</v>
      </c>
      <c r="D190" s="3" t="str">
        <f aca="false">IFERROR(INDEX(Booking!$C:$C,MATCH($A190,Booking!$A:$A,0)),"")</f>
        <v>Harbour Insurance</v>
      </c>
      <c r="E190" s="3" t="str">
        <f aca="false">IFERROR(INDEX(Confirmations!$C:$C,MATCH($A190,Confirmations!$A:$A,0)),"")</f>
        <v/>
      </c>
      <c r="F190" s="14" t="n">
        <f aca="false">IFERROR(INDEX(Booking!$D:$D,MATCH($A190,Booking!$A:$A,0)),"")</f>
        <v>44000000</v>
      </c>
      <c r="G190" s="14" t="str">
        <f aca="false">IFERROR(INDEX(Confirmations!$D:$D,MATCH($A190,Confirmations!$A:$A,0)),"")</f>
        <v/>
      </c>
      <c r="H190" s="15" t="n">
        <f aca="false">IFERROR(INDEX(Booking!$E:$E,MATCH($A190,Booking!$A:$A,0)),"")</f>
        <v>4.967</v>
      </c>
      <c r="I190" s="15" t="str">
        <f aca="false">IFERROR(INDEX(Confirmations!$E:$E,MATCH($A190,Confirmations!$A:$A,0)),"")</f>
        <v/>
      </c>
      <c r="J190" s="3" t="n">
        <f aca="false">IFERROR(INDEX(Booking!$F:$F,MATCH($A190,Booking!$A:$A,0)),"")</f>
        <v>3</v>
      </c>
      <c r="K190" s="3" t="str">
        <f aca="false">IFERROR(INDEX(Confirmations!$F:$F,MATCH($A190,Confirmations!$A:$A,0)),"")</f>
        <v/>
      </c>
      <c r="L190" s="3" t="str">
        <f aca="false">IF(NOT(C190),"Unconfirmed",IF(NOT(B190),"Unbooked",IF(D190&lt;&gt;E190,"Counterparty",IF(ABS(F190-G190)&gt;F190*Rules!$B$4/10000,"Notional",IF(H190&lt;&gt;I190,"Rate or price",IF(J190&lt;&gt;K190,"Value date","Matched"))))))</f>
        <v>Unconfirmed</v>
      </c>
      <c r="M190" s="3" t="n">
        <f aca="false">IF(B190,INDEX(Booking!$G:$G,MATCH(A190,Booking!$A:$A,0)),INDEX(Confirmations!$G:$G,MATCH(A190,Confirmations!$A:$A,0)))</f>
        <v>1</v>
      </c>
      <c r="N190" s="13" t="b">
        <f aca="false">AND(L190&lt;&gt;"Matched",M190&gt;Rules!$B$5)</f>
        <v>0</v>
      </c>
      <c r="O190" s="3" t="str">
        <f aca="false">INDEX(Rules!$B$8:$B$14,MATCH(L190,Rules!$A$8:$A$14,0))</f>
        <v>Confirmations team: chase counterparty</v>
      </c>
    </row>
    <row r="191" customFormat="false" ht="15" hidden="false" customHeight="false" outlineLevel="0" collapsed="false">
      <c r="A191" s="3" t="s">
        <v>232</v>
      </c>
      <c r="B191" s="13" t="b">
        <f aca="false">ISNUMBER(MATCH(A191,Booking!$A:$A,0))</f>
        <v>1</v>
      </c>
      <c r="C191" s="13" t="b">
        <f aca="false">ISNUMBER(MATCH(A191,Confirmations!$A:$A,0))</f>
        <v>1</v>
      </c>
      <c r="D191" s="3" t="str">
        <f aca="false">IFERROR(INDEX(Booking!$C:$C,MATCH($A191,Booking!$A:$A,0)),"")</f>
        <v>Tarn Energy Trading</v>
      </c>
      <c r="E191" s="3" t="str">
        <f aca="false">IFERROR(INDEX(Confirmations!$C:$C,MATCH($A191,Confirmations!$A:$A,0)),"")</f>
        <v>Tarn Energy Trading</v>
      </c>
      <c r="F191" s="14" t="n">
        <f aca="false">IFERROR(INDEX(Booking!$D:$D,MATCH($A191,Booking!$A:$A,0)),"")</f>
        <v>12000000</v>
      </c>
      <c r="G191" s="14" t="n">
        <f aca="false">IFERROR(INDEX(Confirmations!$D:$D,MATCH($A191,Confirmations!$A:$A,0)),"")</f>
        <v>12000000</v>
      </c>
      <c r="H191" s="15" t="n">
        <f aca="false">IFERROR(INDEX(Booking!$E:$E,MATCH($A191,Booking!$A:$A,0)),"")</f>
        <v>4.3532</v>
      </c>
      <c r="I191" s="15" t="n">
        <f aca="false">IFERROR(INDEX(Confirmations!$E:$E,MATCH($A191,Confirmations!$A:$A,0)),"")</f>
        <v>4.3532</v>
      </c>
      <c r="J191" s="3" t="n">
        <f aca="false">IFERROR(INDEX(Booking!$F:$F,MATCH($A191,Booking!$A:$A,0)),"")</f>
        <v>3</v>
      </c>
      <c r="K191" s="3" t="n">
        <f aca="false">IFERROR(INDEX(Confirmations!$F:$F,MATCH($A191,Confirmations!$A:$A,0)),"")</f>
        <v>3</v>
      </c>
      <c r="L191" s="3" t="str">
        <f aca="false">IF(NOT(C191),"Unconfirmed",IF(NOT(B191),"Unbooked",IF(D191&lt;&gt;E191,"Counterparty",IF(ABS(F191-G191)&gt;F191*Rules!$B$4/10000,"Notional",IF(H191&lt;&gt;I191,"Rate or price",IF(J191&lt;&gt;K191,"Value date","Matched"))))))</f>
        <v>Matched</v>
      </c>
      <c r="M191" s="3" t="n">
        <f aca="false">IF(B191,INDEX(Booking!$G:$G,MATCH(A191,Booking!$A:$A,0)),INDEX(Confirmations!$G:$G,MATCH(A191,Confirmations!$A:$A,0)))</f>
        <v>0</v>
      </c>
      <c r="N191" s="13" t="b">
        <f aca="false">AND(L191&lt;&gt;"Matched",M191&gt;Rules!$B$5)</f>
        <v>0</v>
      </c>
      <c r="O191" s="3" t="str">
        <f aca="false">INDEX(Rules!$B$8:$B$14,MATCH(L191,Rules!$A$8:$A$14,0))</f>
        <v>None</v>
      </c>
    </row>
    <row r="192" customFormat="false" ht="15" hidden="false" customHeight="false" outlineLevel="0" collapsed="false">
      <c r="A192" s="3" t="s">
        <v>233</v>
      </c>
      <c r="B192" s="13" t="b">
        <f aca="false">ISNUMBER(MATCH(A192,Booking!$A:$A,0))</f>
        <v>1</v>
      </c>
      <c r="C192" s="13" t="b">
        <f aca="false">ISNUMBER(MATCH(A192,Confirmations!$A:$A,0))</f>
        <v>1</v>
      </c>
      <c r="D192" s="3" t="str">
        <f aca="false">IFERROR(INDEX(Booking!$C:$C,MATCH($A192,Booking!$A:$A,0)),"")</f>
        <v>Harbour Insurance</v>
      </c>
      <c r="E192" s="3" t="str">
        <f aca="false">IFERROR(INDEX(Confirmations!$C:$C,MATCH($A192,Confirmations!$A:$A,0)),"")</f>
        <v>Harbour Insurance</v>
      </c>
      <c r="F192" s="14" t="n">
        <f aca="false">IFERROR(INDEX(Booking!$D:$D,MATCH($A192,Booking!$A:$A,0)),"")</f>
        <v>38000000</v>
      </c>
      <c r="G192" s="14" t="n">
        <f aca="false">IFERROR(INDEX(Confirmations!$D:$D,MATCH($A192,Confirmations!$A:$A,0)),"")</f>
        <v>38000000</v>
      </c>
      <c r="H192" s="15" t="n">
        <f aca="false">IFERROR(INDEX(Booking!$E:$E,MATCH($A192,Booking!$A:$A,0)),"")</f>
        <v>5.0439</v>
      </c>
      <c r="I192" s="15" t="n">
        <f aca="false">IFERROR(INDEX(Confirmations!$E:$E,MATCH($A192,Confirmations!$A:$A,0)),"")</f>
        <v>5.0439</v>
      </c>
      <c r="J192" s="3" t="n">
        <f aca="false">IFERROR(INDEX(Booking!$F:$F,MATCH($A192,Booking!$A:$A,0)),"")</f>
        <v>1</v>
      </c>
      <c r="K192" s="3" t="n">
        <f aca="false">IFERROR(INDEX(Confirmations!$F:$F,MATCH($A192,Confirmations!$A:$A,0)),"")</f>
        <v>1</v>
      </c>
      <c r="L192" s="3" t="str">
        <f aca="false">IF(NOT(C192),"Unconfirmed",IF(NOT(B192),"Unbooked",IF(D192&lt;&gt;E192,"Counterparty",IF(ABS(F192-G192)&gt;F192*Rules!$B$4/10000,"Notional",IF(H192&lt;&gt;I192,"Rate or price",IF(J192&lt;&gt;K192,"Value date","Matched"))))))</f>
        <v>Matched</v>
      </c>
      <c r="M192" s="3" t="n">
        <f aca="false">IF(B192,INDEX(Booking!$G:$G,MATCH(A192,Booking!$A:$A,0)),INDEX(Confirmations!$G:$G,MATCH(A192,Confirmations!$A:$A,0)))</f>
        <v>1</v>
      </c>
      <c r="N192" s="13" t="b">
        <f aca="false">AND(L192&lt;&gt;"Matched",M192&gt;Rules!$B$5)</f>
        <v>0</v>
      </c>
      <c r="O192" s="3" t="str">
        <f aca="false">INDEX(Rules!$B$8:$B$14,MATCH(L192,Rules!$A$8:$A$14,0))</f>
        <v>None</v>
      </c>
    </row>
    <row r="193" customFormat="false" ht="15" hidden="false" customHeight="false" outlineLevel="0" collapsed="false">
      <c r="A193" s="3" t="s">
        <v>234</v>
      </c>
      <c r="B193" s="13" t="b">
        <f aca="false">ISNUMBER(MATCH(A193,Booking!$A:$A,0))</f>
        <v>1</v>
      </c>
      <c r="C193" s="13" t="b">
        <f aca="false">ISNUMBER(MATCH(A193,Confirmations!$A:$A,0))</f>
        <v>1</v>
      </c>
      <c r="D193" s="3" t="str">
        <f aca="false">IFERROR(INDEX(Booking!$C:$C,MATCH($A193,Booking!$A:$A,0)),"")</f>
        <v>Tarn Energy Trading</v>
      </c>
      <c r="E193" s="3" t="str">
        <f aca="false">IFERROR(INDEX(Confirmations!$C:$C,MATCH($A193,Confirmations!$A:$A,0)),"")</f>
        <v>Tarn Energy Trading</v>
      </c>
      <c r="F193" s="14" t="n">
        <f aca="false">IFERROR(INDEX(Booking!$D:$D,MATCH($A193,Booking!$A:$A,0)),"")</f>
        <v>20000000</v>
      </c>
      <c r="G193" s="14" t="n">
        <f aca="false">IFERROR(INDEX(Confirmations!$D:$D,MATCH($A193,Confirmations!$A:$A,0)),"")</f>
        <v>20000000</v>
      </c>
      <c r="H193" s="15" t="n">
        <f aca="false">IFERROR(INDEX(Booking!$E:$E,MATCH($A193,Booking!$A:$A,0)),"")</f>
        <v>1.3893</v>
      </c>
      <c r="I193" s="15" t="n">
        <f aca="false">IFERROR(INDEX(Confirmations!$E:$E,MATCH($A193,Confirmations!$A:$A,0)),"")</f>
        <v>1.3893</v>
      </c>
      <c r="J193" s="3" t="n">
        <f aca="false">IFERROR(INDEX(Booking!$F:$F,MATCH($A193,Booking!$A:$A,0)),"")</f>
        <v>3</v>
      </c>
      <c r="K193" s="3" t="n">
        <f aca="false">IFERROR(INDEX(Confirmations!$F:$F,MATCH($A193,Confirmations!$A:$A,0)),"")</f>
        <v>3</v>
      </c>
      <c r="L193" s="3" t="str">
        <f aca="false">IF(NOT(C193),"Unconfirmed",IF(NOT(B193),"Unbooked",IF(D193&lt;&gt;E193,"Counterparty",IF(ABS(F193-G193)&gt;F193*Rules!$B$4/10000,"Notional",IF(H193&lt;&gt;I193,"Rate or price",IF(J193&lt;&gt;K193,"Value date","Matched"))))))</f>
        <v>Matched</v>
      </c>
      <c r="M193" s="3" t="n">
        <f aca="false">IF(B193,INDEX(Booking!$G:$G,MATCH(A193,Booking!$A:$A,0)),INDEX(Confirmations!$G:$G,MATCH(A193,Confirmations!$A:$A,0)))</f>
        <v>6</v>
      </c>
      <c r="N193" s="13" t="b">
        <f aca="false">AND(L193&lt;&gt;"Matched",M193&gt;Rules!$B$5)</f>
        <v>0</v>
      </c>
      <c r="O193" s="3" t="str">
        <f aca="false">INDEX(Rules!$B$8:$B$14,MATCH(L193,Rules!$A$8:$A$14,0))</f>
        <v>None</v>
      </c>
    </row>
    <row r="194" customFormat="false" ht="15" hidden="false" customHeight="false" outlineLevel="0" collapsed="false">
      <c r="A194" s="3" t="s">
        <v>235</v>
      </c>
      <c r="B194" s="13" t="b">
        <f aca="false">ISNUMBER(MATCH(A194,Booking!$A:$A,0))</f>
        <v>1</v>
      </c>
      <c r="C194" s="13" t="b">
        <f aca="false">ISNUMBER(MATCH(A194,Confirmations!$A:$A,0))</f>
        <v>1</v>
      </c>
      <c r="D194" s="3" t="str">
        <f aca="false">IFERROR(INDEX(Booking!$C:$C,MATCH($A194,Booking!$A:$A,0)),"")</f>
        <v>Harbour Insurance</v>
      </c>
      <c r="E194" s="3" t="str">
        <f aca="false">IFERROR(INDEX(Confirmations!$C:$C,MATCH($A194,Confirmations!$A:$A,0)),"")</f>
        <v>Harbour Insurance</v>
      </c>
      <c r="F194" s="14" t="n">
        <f aca="false">IFERROR(INDEX(Booking!$D:$D,MATCH($A194,Booking!$A:$A,0)),"")</f>
        <v>25000000</v>
      </c>
      <c r="G194" s="14" t="n">
        <f aca="false">IFERROR(INDEX(Confirmations!$D:$D,MATCH($A194,Confirmations!$A:$A,0)),"")</f>
        <v>25000000</v>
      </c>
      <c r="H194" s="15" t="n">
        <f aca="false">IFERROR(INDEX(Booking!$E:$E,MATCH($A194,Booking!$A:$A,0)),"")</f>
        <v>5.5314</v>
      </c>
      <c r="I194" s="15" t="n">
        <f aca="false">IFERROR(INDEX(Confirmations!$E:$E,MATCH($A194,Confirmations!$A:$A,0)),"")</f>
        <v>5.5314</v>
      </c>
      <c r="J194" s="3" t="n">
        <f aca="false">IFERROR(INDEX(Booking!$F:$F,MATCH($A194,Booking!$A:$A,0)),"")</f>
        <v>2</v>
      </c>
      <c r="K194" s="3" t="n">
        <f aca="false">IFERROR(INDEX(Confirmations!$F:$F,MATCH($A194,Confirmations!$A:$A,0)),"")</f>
        <v>2</v>
      </c>
      <c r="L194" s="3" t="str">
        <f aca="false">IF(NOT(C194),"Unconfirmed",IF(NOT(B194),"Unbooked",IF(D194&lt;&gt;E194,"Counterparty",IF(ABS(F194-G194)&gt;F194*Rules!$B$4/10000,"Notional",IF(H194&lt;&gt;I194,"Rate or price",IF(J194&lt;&gt;K194,"Value date","Matched"))))))</f>
        <v>Matched</v>
      </c>
      <c r="M194" s="3" t="n">
        <f aca="false">IF(B194,INDEX(Booking!$G:$G,MATCH(A194,Booking!$A:$A,0)),INDEX(Confirmations!$G:$G,MATCH(A194,Confirmations!$A:$A,0)))</f>
        <v>2</v>
      </c>
      <c r="N194" s="13" t="b">
        <f aca="false">AND(L194&lt;&gt;"Matched",M194&gt;Rules!$B$5)</f>
        <v>0</v>
      </c>
      <c r="O194" s="3" t="str">
        <f aca="false">INDEX(Rules!$B$8:$B$14,MATCH(L194,Rules!$A$8:$A$14,0))</f>
        <v>None</v>
      </c>
    </row>
    <row r="195" customFormat="false" ht="15" hidden="false" customHeight="false" outlineLevel="0" collapsed="false">
      <c r="A195" s="3" t="s">
        <v>236</v>
      </c>
      <c r="B195" s="13" t="b">
        <f aca="false">ISNUMBER(MATCH(A195,Booking!$A:$A,0))</f>
        <v>1</v>
      </c>
      <c r="C195" s="13" t="b">
        <f aca="false">ISNUMBER(MATCH(A195,Confirmations!$A:$A,0))</f>
        <v>1</v>
      </c>
      <c r="D195" s="3" t="str">
        <f aca="false">IFERROR(INDEX(Booking!$C:$C,MATCH($A195,Booking!$A:$A,0)),"")</f>
        <v>Kestrel Macro Fund</v>
      </c>
      <c r="E195" s="3" t="str">
        <f aca="false">IFERROR(INDEX(Confirmations!$C:$C,MATCH($A195,Confirmations!$A:$A,0)),"")</f>
        <v>Kestrel Macro Fund</v>
      </c>
      <c r="F195" s="14" t="n">
        <f aca="false">IFERROR(INDEX(Booking!$D:$D,MATCH($A195,Booking!$A:$A,0)),"")</f>
        <v>21000000</v>
      </c>
      <c r="G195" s="14" t="n">
        <f aca="false">IFERROR(INDEX(Confirmations!$D:$D,MATCH($A195,Confirmations!$A:$A,0)),"")</f>
        <v>21000000</v>
      </c>
      <c r="H195" s="15" t="n">
        <f aca="false">IFERROR(INDEX(Booking!$E:$E,MATCH($A195,Booking!$A:$A,0)),"")</f>
        <v>4.9515</v>
      </c>
      <c r="I195" s="15" t="n">
        <f aca="false">IFERROR(INDEX(Confirmations!$E:$E,MATCH($A195,Confirmations!$A:$A,0)),"")</f>
        <v>4.9515</v>
      </c>
      <c r="J195" s="3" t="n">
        <f aca="false">IFERROR(INDEX(Booking!$F:$F,MATCH($A195,Booking!$A:$A,0)),"")</f>
        <v>3</v>
      </c>
      <c r="K195" s="3" t="n">
        <f aca="false">IFERROR(INDEX(Confirmations!$F:$F,MATCH($A195,Confirmations!$A:$A,0)),"")</f>
        <v>3</v>
      </c>
      <c r="L195" s="3" t="str">
        <f aca="false">IF(NOT(C195),"Unconfirmed",IF(NOT(B195),"Unbooked",IF(D195&lt;&gt;E195,"Counterparty",IF(ABS(F195-G195)&gt;F195*Rules!$B$4/10000,"Notional",IF(H195&lt;&gt;I195,"Rate or price",IF(J195&lt;&gt;K195,"Value date","Matched"))))))</f>
        <v>Matched</v>
      </c>
      <c r="M195" s="3" t="n">
        <f aca="false">IF(B195,INDEX(Booking!$G:$G,MATCH(A195,Booking!$A:$A,0)),INDEX(Confirmations!$G:$G,MATCH(A195,Confirmations!$A:$A,0)))</f>
        <v>0</v>
      </c>
      <c r="N195" s="13" t="b">
        <f aca="false">AND(L195&lt;&gt;"Matched",M195&gt;Rules!$B$5)</f>
        <v>0</v>
      </c>
      <c r="O195" s="3" t="str">
        <f aca="false">INDEX(Rules!$B$8:$B$14,MATCH(L195,Rules!$A$8:$A$14,0))</f>
        <v>None</v>
      </c>
    </row>
    <row r="196" customFormat="false" ht="15" hidden="false" customHeight="false" outlineLevel="0" collapsed="false">
      <c r="A196" s="3" t="s">
        <v>237</v>
      </c>
      <c r="B196" s="13" t="b">
        <f aca="false">ISNUMBER(MATCH(A196,Booking!$A:$A,0))</f>
        <v>1</v>
      </c>
      <c r="C196" s="13" t="b">
        <f aca="false">ISNUMBER(MATCH(A196,Confirmations!$A:$A,0))</f>
        <v>1</v>
      </c>
      <c r="D196" s="3" t="str">
        <f aca="false">IFERROR(INDEX(Booking!$C:$C,MATCH($A196,Booking!$A:$A,0)),"")</f>
        <v>Tarn Energy Trading</v>
      </c>
      <c r="E196" s="3" t="str">
        <f aca="false">IFERROR(INDEX(Confirmations!$C:$C,MATCH($A196,Confirmations!$A:$A,0)),"")</f>
        <v>Tarn Energy Trading</v>
      </c>
      <c r="F196" s="14" t="n">
        <f aca="false">IFERROR(INDEX(Booking!$D:$D,MATCH($A196,Booking!$A:$A,0)),"")</f>
        <v>18000000</v>
      </c>
      <c r="G196" s="14" t="n">
        <f aca="false">IFERROR(INDEX(Confirmations!$D:$D,MATCH($A196,Confirmations!$A:$A,0)),"")</f>
        <v>18000000</v>
      </c>
      <c r="H196" s="15" t="n">
        <f aca="false">IFERROR(INDEX(Booking!$E:$E,MATCH($A196,Booking!$A:$A,0)),"")</f>
        <v>4.074</v>
      </c>
      <c r="I196" s="15" t="n">
        <f aca="false">IFERROR(INDEX(Confirmations!$E:$E,MATCH($A196,Confirmations!$A:$A,0)),"")</f>
        <v>4.074</v>
      </c>
      <c r="J196" s="3" t="n">
        <f aca="false">IFERROR(INDEX(Booking!$F:$F,MATCH($A196,Booking!$A:$A,0)),"")</f>
        <v>3</v>
      </c>
      <c r="K196" s="3" t="n">
        <f aca="false">IFERROR(INDEX(Confirmations!$F:$F,MATCH($A196,Confirmations!$A:$A,0)),"")</f>
        <v>3</v>
      </c>
      <c r="L196" s="3" t="str">
        <f aca="false">IF(NOT(C196),"Unconfirmed",IF(NOT(B196),"Unbooked",IF(D196&lt;&gt;E196,"Counterparty",IF(ABS(F196-G196)&gt;F196*Rules!$B$4/10000,"Notional",IF(H196&lt;&gt;I196,"Rate or price",IF(J196&lt;&gt;K196,"Value date","Matched"))))))</f>
        <v>Matched</v>
      </c>
      <c r="M196" s="3" t="n">
        <f aca="false">IF(B196,INDEX(Booking!$G:$G,MATCH(A196,Booking!$A:$A,0)),INDEX(Confirmations!$G:$G,MATCH(A196,Confirmations!$A:$A,0)))</f>
        <v>0</v>
      </c>
      <c r="N196" s="13" t="b">
        <f aca="false">AND(L196&lt;&gt;"Matched",M196&gt;Rules!$B$5)</f>
        <v>0</v>
      </c>
      <c r="O196" s="3" t="str">
        <f aca="false">INDEX(Rules!$B$8:$B$14,MATCH(L196,Rules!$A$8:$A$14,0))</f>
        <v>None</v>
      </c>
    </row>
    <row r="197" customFormat="false" ht="15" hidden="false" customHeight="false" outlineLevel="0" collapsed="false">
      <c r="A197" s="3" t="s">
        <v>238</v>
      </c>
      <c r="B197" s="13" t="b">
        <f aca="false">ISNUMBER(MATCH(A197,Booking!$A:$A,0))</f>
        <v>1</v>
      </c>
      <c r="C197" s="13" t="b">
        <f aca="false">ISNUMBER(MATCH(A197,Confirmations!$A:$A,0))</f>
        <v>1</v>
      </c>
      <c r="D197" s="3" t="str">
        <f aca="false">IFERROR(INDEX(Booking!$C:$C,MATCH($A197,Booking!$A:$A,0)),"")</f>
        <v>Solent Asset Management</v>
      </c>
      <c r="E197" s="3" t="str">
        <f aca="false">IFERROR(INDEX(Confirmations!$C:$C,MATCH($A197,Confirmations!$A:$A,0)),"")</f>
        <v>Solent Asset Management</v>
      </c>
      <c r="F197" s="14" t="n">
        <f aca="false">IFERROR(INDEX(Booking!$D:$D,MATCH($A197,Booking!$A:$A,0)),"")</f>
        <v>30000000</v>
      </c>
      <c r="G197" s="14" t="n">
        <f aca="false">IFERROR(INDEX(Confirmations!$D:$D,MATCH($A197,Confirmations!$A:$A,0)),"")</f>
        <v>30000000</v>
      </c>
      <c r="H197" s="15" t="n">
        <f aca="false">IFERROR(INDEX(Booking!$E:$E,MATCH($A197,Booking!$A:$A,0)),"")</f>
        <v>4.4631</v>
      </c>
      <c r="I197" s="15" t="n">
        <f aca="false">IFERROR(INDEX(Confirmations!$E:$E,MATCH($A197,Confirmations!$A:$A,0)),"")</f>
        <v>4.4631</v>
      </c>
      <c r="J197" s="3" t="n">
        <f aca="false">IFERROR(INDEX(Booking!$F:$F,MATCH($A197,Booking!$A:$A,0)),"")</f>
        <v>1</v>
      </c>
      <c r="K197" s="3" t="n">
        <f aca="false">IFERROR(INDEX(Confirmations!$F:$F,MATCH($A197,Confirmations!$A:$A,0)),"")</f>
        <v>1</v>
      </c>
      <c r="L197" s="3" t="str">
        <f aca="false">IF(NOT(C197),"Unconfirmed",IF(NOT(B197),"Unbooked",IF(D197&lt;&gt;E197,"Counterparty",IF(ABS(F197-G197)&gt;F197*Rules!$B$4/10000,"Notional",IF(H197&lt;&gt;I197,"Rate or price",IF(J197&lt;&gt;K197,"Value date","Matched"))))))</f>
        <v>Matched</v>
      </c>
      <c r="M197" s="3" t="n">
        <f aca="false">IF(B197,INDEX(Booking!$G:$G,MATCH(A197,Booking!$A:$A,0)),INDEX(Confirmations!$G:$G,MATCH(A197,Confirmations!$A:$A,0)))</f>
        <v>3</v>
      </c>
      <c r="N197" s="13" t="b">
        <f aca="false">AND(L197&lt;&gt;"Matched",M197&gt;Rules!$B$5)</f>
        <v>0</v>
      </c>
      <c r="O197" s="3" t="str">
        <f aca="false">INDEX(Rules!$B$8:$B$14,MATCH(L197,Rules!$A$8:$A$14,0))</f>
        <v>None</v>
      </c>
    </row>
    <row r="198" customFormat="false" ht="15" hidden="false" customHeight="false" outlineLevel="0" collapsed="false">
      <c r="A198" s="3" t="s">
        <v>239</v>
      </c>
      <c r="B198" s="13" t="b">
        <f aca="false">ISNUMBER(MATCH(A198,Booking!$A:$A,0))</f>
        <v>1</v>
      </c>
      <c r="C198" s="13" t="b">
        <f aca="false">ISNUMBER(MATCH(A198,Confirmations!$A:$A,0))</f>
        <v>1</v>
      </c>
      <c r="D198" s="3" t="str">
        <f aca="false">IFERROR(INDEX(Booking!$C:$C,MATCH($A198,Booking!$A:$A,0)),"")</f>
        <v>Kestrel Macro Fund</v>
      </c>
      <c r="E198" s="3" t="str">
        <f aca="false">IFERROR(INDEX(Confirmations!$C:$C,MATCH($A198,Confirmations!$A:$A,0)),"")</f>
        <v>Kestrel Macro Fund</v>
      </c>
      <c r="F198" s="14" t="n">
        <f aca="false">IFERROR(INDEX(Booking!$D:$D,MATCH($A198,Booking!$A:$A,0)),"")</f>
        <v>14000000</v>
      </c>
      <c r="G198" s="14" t="n">
        <f aca="false">IFERROR(INDEX(Confirmations!$D:$D,MATCH($A198,Confirmations!$A:$A,0)),"")</f>
        <v>14000000</v>
      </c>
      <c r="H198" s="15" t="n">
        <f aca="false">IFERROR(INDEX(Booking!$E:$E,MATCH($A198,Booking!$A:$A,0)),"")</f>
        <v>5.4092</v>
      </c>
      <c r="I198" s="15" t="n">
        <f aca="false">IFERROR(INDEX(Confirmations!$E:$E,MATCH($A198,Confirmations!$A:$A,0)),"")</f>
        <v>5.4092</v>
      </c>
      <c r="J198" s="3" t="n">
        <f aca="false">IFERROR(INDEX(Booking!$F:$F,MATCH($A198,Booking!$A:$A,0)),"")</f>
        <v>1</v>
      </c>
      <c r="K198" s="3" t="n">
        <f aca="false">IFERROR(INDEX(Confirmations!$F:$F,MATCH($A198,Confirmations!$A:$A,0)),"")</f>
        <v>1</v>
      </c>
      <c r="L198" s="3" t="str">
        <f aca="false">IF(NOT(C198),"Unconfirmed",IF(NOT(B198),"Unbooked",IF(D198&lt;&gt;E198,"Counterparty",IF(ABS(F198-G198)&gt;F198*Rules!$B$4/10000,"Notional",IF(H198&lt;&gt;I198,"Rate or price",IF(J198&lt;&gt;K198,"Value date","Matched"))))))</f>
        <v>Matched</v>
      </c>
      <c r="M198" s="3" t="n">
        <f aca="false">IF(B198,INDEX(Booking!$G:$G,MATCH(A198,Booking!$A:$A,0)),INDEX(Confirmations!$G:$G,MATCH(A198,Confirmations!$A:$A,0)))</f>
        <v>0</v>
      </c>
      <c r="N198" s="13" t="b">
        <f aca="false">AND(L198&lt;&gt;"Matched",M198&gt;Rules!$B$5)</f>
        <v>0</v>
      </c>
      <c r="O198" s="3" t="str">
        <f aca="false">INDEX(Rules!$B$8:$B$14,MATCH(L198,Rules!$A$8:$A$14,0))</f>
        <v>None</v>
      </c>
    </row>
    <row r="199" customFormat="false" ht="15" hidden="false" customHeight="false" outlineLevel="0" collapsed="false">
      <c r="A199" s="3" t="s">
        <v>240</v>
      </c>
      <c r="B199" s="13" t="b">
        <f aca="false">ISNUMBER(MATCH(A199,Booking!$A:$A,0))</f>
        <v>1</v>
      </c>
      <c r="C199" s="13" t="b">
        <f aca="false">ISNUMBER(MATCH(A199,Confirmations!$A:$A,0))</f>
        <v>1</v>
      </c>
      <c r="D199" s="3" t="str">
        <f aca="false">IFERROR(INDEX(Booking!$C:$C,MATCH($A199,Booking!$A:$A,0)),"")</f>
        <v>Meridian Bank</v>
      </c>
      <c r="E199" s="3" t="str">
        <f aca="false">IFERROR(INDEX(Confirmations!$C:$C,MATCH($A199,Confirmations!$A:$A,0)),"")</f>
        <v>Meridian Bank</v>
      </c>
      <c r="F199" s="14" t="n">
        <f aca="false">IFERROR(INDEX(Booking!$D:$D,MATCH($A199,Booking!$A:$A,0)),"")</f>
        <v>27000000</v>
      </c>
      <c r="G199" s="14" t="n">
        <f aca="false">IFERROR(INDEX(Confirmations!$D:$D,MATCH($A199,Confirmations!$A:$A,0)),"")</f>
        <v>27000000</v>
      </c>
      <c r="H199" s="15" t="n">
        <f aca="false">IFERROR(INDEX(Booking!$E:$E,MATCH($A199,Booking!$A:$A,0)),"")</f>
        <v>5.183</v>
      </c>
      <c r="I199" s="15" t="n">
        <f aca="false">IFERROR(INDEX(Confirmations!$E:$E,MATCH($A199,Confirmations!$A:$A,0)),"")</f>
        <v>5.183</v>
      </c>
      <c r="J199" s="3" t="n">
        <f aca="false">IFERROR(INDEX(Booking!$F:$F,MATCH($A199,Booking!$A:$A,0)),"")</f>
        <v>2</v>
      </c>
      <c r="K199" s="3" t="n">
        <f aca="false">IFERROR(INDEX(Confirmations!$F:$F,MATCH($A199,Confirmations!$A:$A,0)),"")</f>
        <v>2</v>
      </c>
      <c r="L199" s="3" t="str">
        <f aca="false">IF(NOT(C199),"Unconfirmed",IF(NOT(B199),"Unbooked",IF(D199&lt;&gt;E199,"Counterparty",IF(ABS(F199-G199)&gt;F199*Rules!$B$4/10000,"Notional",IF(H199&lt;&gt;I199,"Rate or price",IF(J199&lt;&gt;K199,"Value date","Matched"))))))</f>
        <v>Matched</v>
      </c>
      <c r="M199" s="3" t="n">
        <f aca="false">IF(B199,INDEX(Booking!$G:$G,MATCH(A199,Booking!$A:$A,0)),INDEX(Confirmations!$G:$G,MATCH(A199,Confirmations!$A:$A,0)))</f>
        <v>5</v>
      </c>
      <c r="N199" s="13" t="b">
        <f aca="false">AND(L199&lt;&gt;"Matched",M199&gt;Rules!$B$5)</f>
        <v>0</v>
      </c>
      <c r="O199" s="3" t="str">
        <f aca="false">INDEX(Rules!$B$8:$B$14,MATCH(L199,Rules!$A$8:$A$14,0))</f>
        <v>None</v>
      </c>
    </row>
    <row r="200" customFormat="false" ht="15" hidden="false" customHeight="false" outlineLevel="0" collapsed="false">
      <c r="A200" s="3" t="s">
        <v>241</v>
      </c>
      <c r="B200" s="13" t="b">
        <f aca="false">ISNUMBER(MATCH(A200,Booking!$A:$A,0))</f>
        <v>1</v>
      </c>
      <c r="C200" s="13" t="b">
        <f aca="false">ISNUMBER(MATCH(A200,Confirmations!$A:$A,0))</f>
        <v>1</v>
      </c>
      <c r="D200" s="3" t="str">
        <f aca="false">IFERROR(INDEX(Booking!$C:$C,MATCH($A200,Booking!$A:$A,0)),"")</f>
        <v>Meridian Bank</v>
      </c>
      <c r="E200" s="3" t="str">
        <f aca="false">IFERROR(INDEX(Confirmations!$C:$C,MATCH($A200,Confirmations!$A:$A,0)),"")</f>
        <v>Meridian Bank</v>
      </c>
      <c r="F200" s="14" t="n">
        <f aca="false">IFERROR(INDEX(Booking!$D:$D,MATCH($A200,Booking!$A:$A,0)),"")</f>
        <v>21000000</v>
      </c>
      <c r="G200" s="14" t="n">
        <f aca="false">IFERROR(INDEX(Confirmations!$D:$D,MATCH($A200,Confirmations!$A:$A,0)),"")</f>
        <v>21000000</v>
      </c>
      <c r="H200" s="15" t="n">
        <f aca="false">IFERROR(INDEX(Booking!$E:$E,MATCH($A200,Booking!$A:$A,0)),"")</f>
        <v>1.7735</v>
      </c>
      <c r="I200" s="15" t="n">
        <f aca="false">IFERROR(INDEX(Confirmations!$E:$E,MATCH($A200,Confirmations!$A:$A,0)),"")</f>
        <v>1.7735</v>
      </c>
      <c r="J200" s="3" t="n">
        <f aca="false">IFERROR(INDEX(Booking!$F:$F,MATCH($A200,Booking!$A:$A,0)),"")</f>
        <v>1</v>
      </c>
      <c r="K200" s="3" t="n">
        <f aca="false">IFERROR(INDEX(Confirmations!$F:$F,MATCH($A200,Confirmations!$A:$A,0)),"")</f>
        <v>1</v>
      </c>
      <c r="L200" s="3" t="str">
        <f aca="false">IF(NOT(C200),"Unconfirmed",IF(NOT(B200),"Unbooked",IF(D200&lt;&gt;E200,"Counterparty",IF(ABS(F200-G200)&gt;F200*Rules!$B$4/10000,"Notional",IF(H200&lt;&gt;I200,"Rate or price",IF(J200&lt;&gt;K200,"Value date","Matched"))))))</f>
        <v>Matched</v>
      </c>
      <c r="M200" s="3" t="n">
        <f aca="false">IF(B200,INDEX(Booking!$G:$G,MATCH(A200,Booking!$A:$A,0)),INDEX(Confirmations!$G:$G,MATCH(A200,Confirmations!$A:$A,0)))</f>
        <v>2</v>
      </c>
      <c r="N200" s="13" t="b">
        <f aca="false">AND(L200&lt;&gt;"Matched",M200&gt;Rules!$B$5)</f>
        <v>0</v>
      </c>
      <c r="O200" s="3" t="str">
        <f aca="false">INDEX(Rules!$B$8:$B$14,MATCH(L200,Rules!$A$8:$A$14,0))</f>
        <v>None</v>
      </c>
    </row>
    <row r="201" customFormat="false" ht="15" hidden="false" customHeight="false" outlineLevel="0" collapsed="false">
      <c r="A201" s="3" t="s">
        <v>242</v>
      </c>
      <c r="B201" s="13" t="b">
        <f aca="false">ISNUMBER(MATCH(A201,Booking!$A:$A,0))</f>
        <v>1</v>
      </c>
      <c r="C201" s="13" t="b">
        <f aca="false">ISNUMBER(MATCH(A201,Confirmations!$A:$A,0))</f>
        <v>1</v>
      </c>
      <c r="D201" s="3" t="str">
        <f aca="false">IFERROR(INDEX(Booking!$C:$C,MATCH($A201,Booking!$A:$A,0)),"")</f>
        <v>Aldridge Capital</v>
      </c>
      <c r="E201" s="3" t="str">
        <f aca="false">IFERROR(INDEX(Confirmations!$C:$C,MATCH($A201,Confirmations!$A:$A,0)),"")</f>
        <v>Aldridge Capital</v>
      </c>
      <c r="F201" s="14" t="n">
        <f aca="false">IFERROR(INDEX(Booking!$D:$D,MATCH($A201,Booking!$A:$A,0)),"")</f>
        <v>27000000</v>
      </c>
      <c r="G201" s="14" t="n">
        <f aca="false">IFERROR(INDEX(Confirmations!$D:$D,MATCH($A201,Confirmations!$A:$A,0)),"")</f>
        <v>27000000</v>
      </c>
      <c r="H201" s="15" t="n">
        <f aca="false">IFERROR(INDEX(Booking!$E:$E,MATCH($A201,Booking!$A:$A,0)),"")</f>
        <v>5.0112</v>
      </c>
      <c r="I201" s="15" t="n">
        <f aca="false">IFERROR(INDEX(Confirmations!$E:$E,MATCH($A201,Confirmations!$A:$A,0)),"")</f>
        <v>5.0112</v>
      </c>
      <c r="J201" s="3" t="n">
        <f aca="false">IFERROR(INDEX(Booking!$F:$F,MATCH($A201,Booking!$A:$A,0)),"")</f>
        <v>3</v>
      </c>
      <c r="K201" s="3" t="n">
        <f aca="false">IFERROR(INDEX(Confirmations!$F:$F,MATCH($A201,Confirmations!$A:$A,0)),"")</f>
        <v>3</v>
      </c>
      <c r="L201" s="3" t="str">
        <f aca="false">IF(NOT(C201),"Unconfirmed",IF(NOT(B201),"Unbooked",IF(D201&lt;&gt;E201,"Counterparty",IF(ABS(F201-G201)&gt;F201*Rules!$B$4/10000,"Notional",IF(H201&lt;&gt;I201,"Rate or price",IF(J201&lt;&gt;K201,"Value date","Matched"))))))</f>
        <v>Matched</v>
      </c>
      <c r="M201" s="3" t="n">
        <f aca="false">IF(B201,INDEX(Booking!$G:$G,MATCH(A201,Booking!$A:$A,0)),INDEX(Confirmations!$G:$G,MATCH(A201,Confirmations!$A:$A,0)))</f>
        <v>2</v>
      </c>
      <c r="N201" s="13" t="b">
        <f aca="false">AND(L201&lt;&gt;"Matched",M201&gt;Rules!$B$5)</f>
        <v>0</v>
      </c>
      <c r="O201" s="3" t="str">
        <f aca="false">INDEX(Rules!$B$8:$B$14,MATCH(L201,Rules!$A$8:$A$14,0))</f>
        <v>None</v>
      </c>
    </row>
    <row r="202" customFormat="false" ht="15" hidden="false" customHeight="false" outlineLevel="0" collapsed="false">
      <c r="A202" s="3" t="s">
        <v>243</v>
      </c>
      <c r="B202" s="13" t="b">
        <f aca="false">ISNUMBER(MATCH(A202,Booking!$A:$A,0))</f>
        <v>1</v>
      </c>
      <c r="C202" s="13" t="b">
        <f aca="false">ISNUMBER(MATCH(A202,Confirmations!$A:$A,0))</f>
        <v>1</v>
      </c>
      <c r="D202" s="3" t="str">
        <f aca="false">IFERROR(INDEX(Booking!$C:$C,MATCH($A202,Booking!$A:$A,0)),"")</f>
        <v>Tarn Energy Trading</v>
      </c>
      <c r="E202" s="3" t="str">
        <f aca="false">IFERROR(INDEX(Confirmations!$C:$C,MATCH($A202,Confirmations!$A:$A,0)),"")</f>
        <v>Tarn Energy Trading</v>
      </c>
      <c r="F202" s="14" t="n">
        <f aca="false">IFERROR(INDEX(Booking!$D:$D,MATCH($A202,Booking!$A:$A,0)),"")</f>
        <v>11000000</v>
      </c>
      <c r="G202" s="14" t="n">
        <f aca="false">IFERROR(INDEX(Confirmations!$D:$D,MATCH($A202,Confirmations!$A:$A,0)),"")</f>
        <v>11000000</v>
      </c>
      <c r="H202" s="15" t="n">
        <f aca="false">IFERROR(INDEX(Booking!$E:$E,MATCH($A202,Booking!$A:$A,0)),"")</f>
        <v>1.5018</v>
      </c>
      <c r="I202" s="15" t="n">
        <f aca="false">IFERROR(INDEX(Confirmations!$E:$E,MATCH($A202,Confirmations!$A:$A,0)),"")</f>
        <v>1.5018</v>
      </c>
      <c r="J202" s="3" t="n">
        <f aca="false">IFERROR(INDEX(Booking!$F:$F,MATCH($A202,Booking!$A:$A,0)),"")</f>
        <v>3</v>
      </c>
      <c r="K202" s="3" t="n">
        <f aca="false">IFERROR(INDEX(Confirmations!$F:$F,MATCH($A202,Confirmations!$A:$A,0)),"")</f>
        <v>3</v>
      </c>
      <c r="L202" s="3" t="str">
        <f aca="false">IF(NOT(C202),"Unconfirmed",IF(NOT(B202),"Unbooked",IF(D202&lt;&gt;E202,"Counterparty",IF(ABS(F202-G202)&gt;F202*Rules!$B$4/10000,"Notional",IF(H202&lt;&gt;I202,"Rate or price",IF(J202&lt;&gt;K202,"Value date","Matched"))))))</f>
        <v>Matched</v>
      </c>
      <c r="M202" s="3" t="n">
        <f aca="false">IF(B202,INDEX(Booking!$G:$G,MATCH(A202,Booking!$A:$A,0)),INDEX(Confirmations!$G:$G,MATCH(A202,Confirmations!$A:$A,0)))</f>
        <v>0</v>
      </c>
      <c r="N202" s="13" t="b">
        <f aca="false">AND(L202&lt;&gt;"Matched",M202&gt;Rules!$B$5)</f>
        <v>0</v>
      </c>
      <c r="O202" s="3" t="str">
        <f aca="false">INDEX(Rules!$B$8:$B$14,MATCH(L202,Rules!$A$8:$A$14,0))</f>
        <v>None</v>
      </c>
    </row>
    <row r="203" customFormat="false" ht="15" hidden="false" customHeight="false" outlineLevel="0" collapsed="false">
      <c r="A203" s="3" t="s">
        <v>244</v>
      </c>
      <c r="B203" s="13" t="b">
        <f aca="false">ISNUMBER(MATCH(A203,Booking!$A:$A,0))</f>
        <v>1</v>
      </c>
      <c r="C203" s="13" t="b">
        <f aca="false">ISNUMBER(MATCH(A203,Confirmations!$A:$A,0))</f>
        <v>1</v>
      </c>
      <c r="D203" s="3" t="str">
        <f aca="false">IFERROR(INDEX(Booking!$C:$C,MATCH($A203,Booking!$A:$A,0)),"")</f>
        <v>Kestrel Macro Fund</v>
      </c>
      <c r="E203" s="3" t="str">
        <f aca="false">IFERROR(INDEX(Confirmations!$C:$C,MATCH($A203,Confirmations!$A:$A,0)),"")</f>
        <v>Kestrel Macro Fund</v>
      </c>
      <c r="F203" s="14" t="n">
        <f aca="false">IFERROR(INDEX(Booking!$D:$D,MATCH($A203,Booking!$A:$A,0)),"")</f>
        <v>49000000</v>
      </c>
      <c r="G203" s="14" t="n">
        <f aca="false">IFERROR(INDEX(Confirmations!$D:$D,MATCH($A203,Confirmations!$A:$A,0)),"")</f>
        <v>49000000</v>
      </c>
      <c r="H203" s="15" t="n">
        <f aca="false">IFERROR(INDEX(Booking!$E:$E,MATCH($A203,Booking!$A:$A,0)),"")</f>
        <v>3.3558</v>
      </c>
      <c r="I203" s="15" t="n">
        <f aca="false">IFERROR(INDEX(Confirmations!$E:$E,MATCH($A203,Confirmations!$A:$A,0)),"")</f>
        <v>3.3558</v>
      </c>
      <c r="J203" s="3" t="n">
        <f aca="false">IFERROR(INDEX(Booking!$F:$F,MATCH($A203,Booking!$A:$A,0)),"")</f>
        <v>1</v>
      </c>
      <c r="K203" s="3" t="n">
        <f aca="false">IFERROR(INDEX(Confirmations!$F:$F,MATCH($A203,Confirmations!$A:$A,0)),"")</f>
        <v>1</v>
      </c>
      <c r="L203" s="3" t="str">
        <f aca="false">IF(NOT(C203),"Unconfirmed",IF(NOT(B203),"Unbooked",IF(D203&lt;&gt;E203,"Counterparty",IF(ABS(F203-G203)&gt;F203*Rules!$B$4/10000,"Notional",IF(H203&lt;&gt;I203,"Rate or price",IF(J203&lt;&gt;K203,"Value date","Matched"))))))</f>
        <v>Matched</v>
      </c>
      <c r="M203" s="3" t="n">
        <f aca="false">IF(B203,INDEX(Booking!$G:$G,MATCH(A203,Booking!$A:$A,0)),INDEX(Confirmations!$G:$G,MATCH(A203,Confirmations!$A:$A,0)))</f>
        <v>4</v>
      </c>
      <c r="N203" s="13" t="b">
        <f aca="false">AND(L203&lt;&gt;"Matched",M203&gt;Rules!$B$5)</f>
        <v>0</v>
      </c>
      <c r="O203" s="3" t="str">
        <f aca="false">INDEX(Rules!$B$8:$B$14,MATCH(L203,Rules!$A$8:$A$14,0))</f>
        <v>None</v>
      </c>
    </row>
    <row r="204" customFormat="false" ht="15" hidden="false" customHeight="false" outlineLevel="0" collapsed="false">
      <c r="A204" s="3" t="s">
        <v>245</v>
      </c>
      <c r="B204" s="13" t="b">
        <f aca="false">ISNUMBER(MATCH(A204,Booking!$A:$A,0))</f>
        <v>1</v>
      </c>
      <c r="C204" s="13" t="b">
        <f aca="false">ISNUMBER(MATCH(A204,Confirmations!$A:$A,0))</f>
        <v>1</v>
      </c>
      <c r="D204" s="3" t="str">
        <f aca="false">IFERROR(INDEX(Booking!$C:$C,MATCH($A204,Booking!$A:$A,0)),"")</f>
        <v>Vale Corporate Treasury</v>
      </c>
      <c r="E204" s="3" t="str">
        <f aca="false">IFERROR(INDEX(Confirmations!$C:$C,MATCH($A204,Confirmations!$A:$A,0)),"")</f>
        <v>Vale Corporate Treasury</v>
      </c>
      <c r="F204" s="14" t="n">
        <f aca="false">IFERROR(INDEX(Booking!$D:$D,MATCH($A204,Booking!$A:$A,0)),"")</f>
        <v>37000000</v>
      </c>
      <c r="G204" s="14" t="n">
        <f aca="false">IFERROR(INDEX(Confirmations!$D:$D,MATCH($A204,Confirmations!$A:$A,0)),"")</f>
        <v>37000000</v>
      </c>
      <c r="H204" s="15" t="n">
        <f aca="false">IFERROR(INDEX(Booking!$E:$E,MATCH($A204,Booking!$A:$A,0)),"")</f>
        <v>1.2159</v>
      </c>
      <c r="I204" s="15" t="n">
        <f aca="false">IFERROR(INDEX(Confirmations!$E:$E,MATCH($A204,Confirmations!$A:$A,0)),"")</f>
        <v>1.2159</v>
      </c>
      <c r="J204" s="3" t="n">
        <f aca="false">IFERROR(INDEX(Booking!$F:$F,MATCH($A204,Booking!$A:$A,0)),"")</f>
        <v>1</v>
      </c>
      <c r="K204" s="3" t="n">
        <f aca="false">IFERROR(INDEX(Confirmations!$F:$F,MATCH($A204,Confirmations!$A:$A,0)),"")</f>
        <v>1</v>
      </c>
      <c r="L204" s="3" t="str">
        <f aca="false">IF(NOT(C204),"Unconfirmed",IF(NOT(B204),"Unbooked",IF(D204&lt;&gt;E204,"Counterparty",IF(ABS(F204-G204)&gt;F204*Rules!$B$4/10000,"Notional",IF(H204&lt;&gt;I204,"Rate or price",IF(J204&lt;&gt;K204,"Value date","Matched"))))))</f>
        <v>Matched</v>
      </c>
      <c r="M204" s="3" t="n">
        <f aca="false">IF(B204,INDEX(Booking!$G:$G,MATCH(A204,Booking!$A:$A,0)),INDEX(Confirmations!$G:$G,MATCH(A204,Confirmations!$A:$A,0)))</f>
        <v>0</v>
      </c>
      <c r="N204" s="13" t="b">
        <f aca="false">AND(L204&lt;&gt;"Matched",M204&gt;Rules!$B$5)</f>
        <v>0</v>
      </c>
      <c r="O204" s="3" t="str">
        <f aca="false">INDEX(Rules!$B$8:$B$14,MATCH(L204,Rules!$A$8:$A$14,0))</f>
        <v>None</v>
      </c>
    </row>
    <row r="205" customFormat="false" ht="15" hidden="false" customHeight="false" outlineLevel="0" collapsed="false">
      <c r="A205" s="3" t="s">
        <v>246</v>
      </c>
      <c r="B205" s="13" t="b">
        <f aca="false">ISNUMBER(MATCH(A205,Booking!$A:$A,0))</f>
        <v>1</v>
      </c>
      <c r="C205" s="13" t="b">
        <f aca="false">ISNUMBER(MATCH(A205,Confirmations!$A:$A,0))</f>
        <v>1</v>
      </c>
      <c r="D205" s="3" t="str">
        <f aca="false">IFERROR(INDEX(Booking!$C:$C,MATCH($A205,Booking!$A:$A,0)),"")</f>
        <v>Vale Corporate Treasury</v>
      </c>
      <c r="E205" s="3" t="str">
        <f aca="false">IFERROR(INDEX(Confirmations!$C:$C,MATCH($A205,Confirmations!$A:$A,0)),"")</f>
        <v>Vale Corporate Treasury</v>
      </c>
      <c r="F205" s="14" t="n">
        <f aca="false">IFERROR(INDEX(Booking!$D:$D,MATCH($A205,Booking!$A:$A,0)),"")</f>
        <v>48000000</v>
      </c>
      <c r="G205" s="14" t="n">
        <f aca="false">IFERROR(INDEX(Confirmations!$D:$D,MATCH($A205,Confirmations!$A:$A,0)),"")</f>
        <v>48000000</v>
      </c>
      <c r="H205" s="15" t="n">
        <f aca="false">IFERROR(INDEX(Booking!$E:$E,MATCH($A205,Booking!$A:$A,0)),"")</f>
        <v>6.2719</v>
      </c>
      <c r="I205" s="15" t="n">
        <f aca="false">IFERROR(INDEX(Confirmations!$E:$E,MATCH($A205,Confirmations!$A:$A,0)),"")</f>
        <v>6.2719</v>
      </c>
      <c r="J205" s="3" t="n">
        <f aca="false">IFERROR(INDEX(Booking!$F:$F,MATCH($A205,Booking!$A:$A,0)),"")</f>
        <v>1</v>
      </c>
      <c r="K205" s="3" t="n">
        <f aca="false">IFERROR(INDEX(Confirmations!$F:$F,MATCH($A205,Confirmations!$A:$A,0)),"")</f>
        <v>1</v>
      </c>
      <c r="L205" s="3" t="str">
        <f aca="false">IF(NOT(C205),"Unconfirmed",IF(NOT(B205),"Unbooked",IF(D205&lt;&gt;E205,"Counterparty",IF(ABS(F205-G205)&gt;F205*Rules!$B$4/10000,"Notional",IF(H205&lt;&gt;I205,"Rate or price",IF(J205&lt;&gt;K205,"Value date","Matched"))))))</f>
        <v>Matched</v>
      </c>
      <c r="M205" s="3" t="n">
        <f aca="false">IF(B205,INDEX(Booking!$G:$G,MATCH(A205,Booking!$A:$A,0)),INDEX(Confirmations!$G:$G,MATCH(A205,Confirmations!$A:$A,0)))</f>
        <v>1</v>
      </c>
      <c r="N205" s="13" t="b">
        <f aca="false">AND(L205&lt;&gt;"Matched",M205&gt;Rules!$B$5)</f>
        <v>0</v>
      </c>
      <c r="O205" s="3" t="str">
        <f aca="false">INDEX(Rules!$B$8:$B$14,MATCH(L205,Rules!$A$8:$A$14,0))</f>
        <v>None</v>
      </c>
    </row>
    <row r="206" customFormat="false" ht="15" hidden="false" customHeight="false" outlineLevel="0" collapsed="false">
      <c r="A206" s="3" t="s">
        <v>247</v>
      </c>
      <c r="B206" s="13" t="b">
        <f aca="false">ISNUMBER(MATCH(A206,Booking!$A:$A,0))</f>
        <v>1</v>
      </c>
      <c r="C206" s="13" t="b">
        <f aca="false">ISNUMBER(MATCH(A206,Confirmations!$A:$A,0))</f>
        <v>1</v>
      </c>
      <c r="D206" s="3" t="str">
        <f aca="false">IFERROR(INDEX(Booking!$C:$C,MATCH($A206,Booking!$A:$A,0)),"")</f>
        <v>Solent Asset Management</v>
      </c>
      <c r="E206" s="3" t="str">
        <f aca="false">IFERROR(INDEX(Confirmations!$C:$C,MATCH($A206,Confirmations!$A:$A,0)),"")</f>
        <v>Solent Asset Management</v>
      </c>
      <c r="F206" s="14" t="n">
        <f aca="false">IFERROR(INDEX(Booking!$D:$D,MATCH($A206,Booking!$A:$A,0)),"")</f>
        <v>30000000</v>
      </c>
      <c r="G206" s="14" t="n">
        <f aca="false">IFERROR(INDEX(Confirmations!$D:$D,MATCH($A206,Confirmations!$A:$A,0)),"")</f>
        <v>30000000</v>
      </c>
      <c r="H206" s="15" t="n">
        <f aca="false">IFERROR(INDEX(Booking!$E:$E,MATCH($A206,Booking!$A:$A,0)),"")</f>
        <v>1.9252</v>
      </c>
      <c r="I206" s="15" t="n">
        <f aca="false">IFERROR(INDEX(Confirmations!$E:$E,MATCH($A206,Confirmations!$A:$A,0)),"")</f>
        <v>1.9252</v>
      </c>
      <c r="J206" s="3" t="n">
        <f aca="false">IFERROR(INDEX(Booking!$F:$F,MATCH($A206,Booking!$A:$A,0)),"")</f>
        <v>1</v>
      </c>
      <c r="K206" s="3" t="n">
        <f aca="false">IFERROR(INDEX(Confirmations!$F:$F,MATCH($A206,Confirmations!$A:$A,0)),"")</f>
        <v>1</v>
      </c>
      <c r="L206" s="3" t="str">
        <f aca="false">IF(NOT(C206),"Unconfirmed",IF(NOT(B206),"Unbooked",IF(D206&lt;&gt;E206,"Counterparty",IF(ABS(F206-G206)&gt;F206*Rules!$B$4/10000,"Notional",IF(H206&lt;&gt;I206,"Rate or price",IF(J206&lt;&gt;K206,"Value date","Matched"))))))</f>
        <v>Matched</v>
      </c>
      <c r="M206" s="3" t="n">
        <f aca="false">IF(B206,INDEX(Booking!$G:$G,MATCH(A206,Booking!$A:$A,0)),INDEX(Confirmations!$G:$G,MATCH(A206,Confirmations!$A:$A,0)))</f>
        <v>0</v>
      </c>
      <c r="N206" s="13" t="b">
        <f aca="false">AND(L206&lt;&gt;"Matched",M206&gt;Rules!$B$5)</f>
        <v>0</v>
      </c>
      <c r="O206" s="3" t="str">
        <f aca="false">INDEX(Rules!$B$8:$B$14,MATCH(L206,Rules!$A$8:$A$14,0))</f>
        <v>None</v>
      </c>
    </row>
    <row r="207" customFormat="false" ht="15" hidden="false" customHeight="false" outlineLevel="0" collapsed="false">
      <c r="A207" s="3" t="s">
        <v>248</v>
      </c>
      <c r="B207" s="13" t="b">
        <f aca="false">ISNUMBER(MATCH(A207,Booking!$A:$A,0))</f>
        <v>1</v>
      </c>
      <c r="C207" s="13" t="b">
        <f aca="false">ISNUMBER(MATCH(A207,Confirmations!$A:$A,0))</f>
        <v>1</v>
      </c>
      <c r="D207" s="3" t="str">
        <f aca="false">IFERROR(INDEX(Booking!$C:$C,MATCH($A207,Booking!$A:$A,0)),"")</f>
        <v>Kestrel Macro Fund</v>
      </c>
      <c r="E207" s="3" t="str">
        <f aca="false">IFERROR(INDEX(Confirmations!$C:$C,MATCH($A207,Confirmations!$A:$A,0)),"")</f>
        <v>Kestrel Macro Fund</v>
      </c>
      <c r="F207" s="14" t="n">
        <f aca="false">IFERROR(INDEX(Booking!$D:$D,MATCH($A207,Booking!$A:$A,0)),"")</f>
        <v>45000000</v>
      </c>
      <c r="G207" s="14" t="n">
        <f aca="false">IFERROR(INDEX(Confirmations!$D:$D,MATCH($A207,Confirmations!$A:$A,0)),"")</f>
        <v>45000000</v>
      </c>
      <c r="H207" s="15" t="n">
        <f aca="false">IFERROR(INDEX(Booking!$E:$E,MATCH($A207,Booking!$A:$A,0)),"")</f>
        <v>3.3333</v>
      </c>
      <c r="I207" s="15" t="n">
        <f aca="false">IFERROR(INDEX(Confirmations!$E:$E,MATCH($A207,Confirmations!$A:$A,0)),"")</f>
        <v>3.3333</v>
      </c>
      <c r="J207" s="3" t="n">
        <f aca="false">IFERROR(INDEX(Booking!$F:$F,MATCH($A207,Booking!$A:$A,0)),"")</f>
        <v>2</v>
      </c>
      <c r="K207" s="3" t="n">
        <f aca="false">IFERROR(INDEX(Confirmations!$F:$F,MATCH($A207,Confirmations!$A:$A,0)),"")</f>
        <v>2</v>
      </c>
      <c r="L207" s="3" t="str">
        <f aca="false">IF(NOT(C207),"Unconfirmed",IF(NOT(B207),"Unbooked",IF(D207&lt;&gt;E207,"Counterparty",IF(ABS(F207-G207)&gt;F207*Rules!$B$4/10000,"Notional",IF(H207&lt;&gt;I207,"Rate or price",IF(J207&lt;&gt;K207,"Value date","Matched"))))))</f>
        <v>Matched</v>
      </c>
      <c r="M207" s="3" t="n">
        <f aca="false">IF(B207,INDEX(Booking!$G:$G,MATCH(A207,Booking!$A:$A,0)),INDEX(Confirmations!$G:$G,MATCH(A207,Confirmations!$A:$A,0)))</f>
        <v>7</v>
      </c>
      <c r="N207" s="13" t="b">
        <f aca="false">AND(L207&lt;&gt;"Matched",M207&gt;Rules!$B$5)</f>
        <v>0</v>
      </c>
      <c r="O207" s="3" t="str">
        <f aca="false">INDEX(Rules!$B$8:$B$14,MATCH(L207,Rules!$A$8:$A$14,0))</f>
        <v>None</v>
      </c>
    </row>
    <row r="208" customFormat="false" ht="15" hidden="false" customHeight="false" outlineLevel="0" collapsed="false">
      <c r="A208" s="3" t="s">
        <v>249</v>
      </c>
      <c r="B208" s="13" t="b">
        <f aca="false">ISNUMBER(MATCH(A208,Booking!$A:$A,0))</f>
        <v>1</v>
      </c>
      <c r="C208" s="13" t="b">
        <f aca="false">ISNUMBER(MATCH(A208,Confirmations!$A:$A,0))</f>
        <v>1</v>
      </c>
      <c r="D208" s="3" t="str">
        <f aca="false">IFERROR(INDEX(Booking!$C:$C,MATCH($A208,Booking!$A:$A,0)),"")</f>
        <v>Tarn Energy Trading</v>
      </c>
      <c r="E208" s="3" t="str">
        <f aca="false">IFERROR(INDEX(Confirmations!$C:$C,MATCH($A208,Confirmations!$A:$A,0)),"")</f>
        <v>Tarn Energy Trading</v>
      </c>
      <c r="F208" s="14" t="n">
        <f aca="false">IFERROR(INDEX(Booking!$D:$D,MATCH($A208,Booking!$A:$A,0)),"")</f>
        <v>31000000</v>
      </c>
      <c r="G208" s="14" t="n">
        <f aca="false">IFERROR(INDEX(Confirmations!$D:$D,MATCH($A208,Confirmations!$A:$A,0)),"")</f>
        <v>31000000</v>
      </c>
      <c r="H208" s="15" t="n">
        <f aca="false">IFERROR(INDEX(Booking!$E:$E,MATCH($A208,Booking!$A:$A,0)),"")</f>
        <v>1.7989</v>
      </c>
      <c r="I208" s="15" t="n">
        <f aca="false">IFERROR(INDEX(Confirmations!$E:$E,MATCH($A208,Confirmations!$A:$A,0)),"")</f>
        <v>1.7989</v>
      </c>
      <c r="J208" s="3" t="n">
        <f aca="false">IFERROR(INDEX(Booking!$F:$F,MATCH($A208,Booking!$A:$A,0)),"")</f>
        <v>2</v>
      </c>
      <c r="K208" s="3" t="n">
        <f aca="false">IFERROR(INDEX(Confirmations!$F:$F,MATCH($A208,Confirmations!$A:$A,0)),"")</f>
        <v>2</v>
      </c>
      <c r="L208" s="3" t="str">
        <f aca="false">IF(NOT(C208),"Unconfirmed",IF(NOT(B208),"Unbooked",IF(D208&lt;&gt;E208,"Counterparty",IF(ABS(F208-G208)&gt;F208*Rules!$B$4/10000,"Notional",IF(H208&lt;&gt;I208,"Rate or price",IF(J208&lt;&gt;K208,"Value date","Matched"))))))</f>
        <v>Matched</v>
      </c>
      <c r="M208" s="3" t="n">
        <f aca="false">IF(B208,INDEX(Booking!$G:$G,MATCH(A208,Booking!$A:$A,0)),INDEX(Confirmations!$G:$G,MATCH(A208,Confirmations!$A:$A,0)))</f>
        <v>0</v>
      </c>
      <c r="N208" s="13" t="b">
        <f aca="false">AND(L208&lt;&gt;"Matched",M208&gt;Rules!$B$5)</f>
        <v>0</v>
      </c>
      <c r="O208" s="3" t="str">
        <f aca="false">INDEX(Rules!$B$8:$B$14,MATCH(L208,Rules!$A$8:$A$14,0))</f>
        <v>None</v>
      </c>
    </row>
    <row r="209" customFormat="false" ht="15" hidden="false" customHeight="false" outlineLevel="0" collapsed="false">
      <c r="A209" s="3" t="s">
        <v>250</v>
      </c>
      <c r="B209" s="13" t="b">
        <f aca="false">ISNUMBER(MATCH(A209,Booking!$A:$A,0))</f>
        <v>1</v>
      </c>
      <c r="C209" s="13" t="b">
        <f aca="false">ISNUMBER(MATCH(A209,Confirmations!$A:$A,0))</f>
        <v>1</v>
      </c>
      <c r="D209" s="3" t="str">
        <f aca="false">IFERROR(INDEX(Booking!$C:$C,MATCH($A209,Booking!$A:$A,0)),"")</f>
        <v>Aldridge Capital</v>
      </c>
      <c r="E209" s="3" t="str">
        <f aca="false">IFERROR(INDEX(Confirmations!$C:$C,MATCH($A209,Confirmations!$A:$A,0)),"")</f>
        <v>Aldridge Capital</v>
      </c>
      <c r="F209" s="14" t="n">
        <f aca="false">IFERROR(INDEX(Booking!$D:$D,MATCH($A209,Booking!$A:$A,0)),"")</f>
        <v>20000000</v>
      </c>
      <c r="G209" s="14" t="n">
        <f aca="false">IFERROR(INDEX(Confirmations!$D:$D,MATCH($A209,Confirmations!$A:$A,0)),"")</f>
        <v>20000000</v>
      </c>
      <c r="H209" s="15" t="n">
        <f aca="false">IFERROR(INDEX(Booking!$E:$E,MATCH($A209,Booking!$A:$A,0)),"")</f>
        <v>4.9479</v>
      </c>
      <c r="I209" s="15" t="n">
        <f aca="false">IFERROR(INDEX(Confirmations!$E:$E,MATCH($A209,Confirmations!$A:$A,0)),"")</f>
        <v>4.9479</v>
      </c>
      <c r="J209" s="3" t="n">
        <f aca="false">IFERROR(INDEX(Booking!$F:$F,MATCH($A209,Booking!$A:$A,0)),"")</f>
        <v>3</v>
      </c>
      <c r="K209" s="3" t="n">
        <f aca="false">IFERROR(INDEX(Confirmations!$F:$F,MATCH($A209,Confirmations!$A:$A,0)),"")</f>
        <v>3</v>
      </c>
      <c r="L209" s="3" t="str">
        <f aca="false">IF(NOT(C209),"Unconfirmed",IF(NOT(B209),"Unbooked",IF(D209&lt;&gt;E209,"Counterparty",IF(ABS(F209-G209)&gt;F209*Rules!$B$4/10000,"Notional",IF(H209&lt;&gt;I209,"Rate or price",IF(J209&lt;&gt;K209,"Value date","Matched"))))))</f>
        <v>Matched</v>
      </c>
      <c r="M209" s="3" t="n">
        <f aca="false">IF(B209,INDEX(Booking!$G:$G,MATCH(A209,Booking!$A:$A,0)),INDEX(Confirmations!$G:$G,MATCH(A209,Confirmations!$A:$A,0)))</f>
        <v>0</v>
      </c>
      <c r="N209" s="13" t="b">
        <f aca="false">AND(L209&lt;&gt;"Matched",M209&gt;Rules!$B$5)</f>
        <v>0</v>
      </c>
      <c r="O209" s="3" t="str">
        <f aca="false">INDEX(Rules!$B$8:$B$14,MATCH(L209,Rules!$A$8:$A$14,0))</f>
        <v>None</v>
      </c>
    </row>
    <row r="210" customFormat="false" ht="15" hidden="false" customHeight="false" outlineLevel="0" collapsed="false">
      <c r="A210" s="3" t="s">
        <v>251</v>
      </c>
      <c r="B210" s="13" t="b">
        <f aca="false">ISNUMBER(MATCH(A210,Booking!$A:$A,0))</f>
        <v>1</v>
      </c>
      <c r="C210" s="13" t="b">
        <f aca="false">ISNUMBER(MATCH(A210,Confirmations!$A:$A,0))</f>
        <v>1</v>
      </c>
      <c r="D210" s="3" t="str">
        <f aca="false">IFERROR(INDEX(Booking!$C:$C,MATCH($A210,Booking!$A:$A,0)),"")</f>
        <v>Meridian Bank</v>
      </c>
      <c r="E210" s="3" t="str">
        <f aca="false">IFERROR(INDEX(Confirmations!$C:$C,MATCH($A210,Confirmations!$A:$A,0)),"")</f>
        <v>Meridian Bank</v>
      </c>
      <c r="F210" s="14" t="n">
        <f aca="false">IFERROR(INDEX(Booking!$D:$D,MATCH($A210,Booking!$A:$A,0)),"")</f>
        <v>14000000</v>
      </c>
      <c r="G210" s="14" t="n">
        <f aca="false">IFERROR(INDEX(Confirmations!$D:$D,MATCH($A210,Confirmations!$A:$A,0)),"")</f>
        <v>14000000</v>
      </c>
      <c r="H210" s="15" t="n">
        <f aca="false">IFERROR(INDEX(Booking!$E:$E,MATCH($A210,Booking!$A:$A,0)),"")</f>
        <v>2.4541</v>
      </c>
      <c r="I210" s="15" t="n">
        <f aca="false">IFERROR(INDEX(Confirmations!$E:$E,MATCH($A210,Confirmations!$A:$A,0)),"")</f>
        <v>2.4541</v>
      </c>
      <c r="J210" s="3" t="n">
        <f aca="false">IFERROR(INDEX(Booking!$F:$F,MATCH($A210,Booking!$A:$A,0)),"")</f>
        <v>3</v>
      </c>
      <c r="K210" s="3" t="n">
        <f aca="false">IFERROR(INDEX(Confirmations!$F:$F,MATCH($A210,Confirmations!$A:$A,0)),"")</f>
        <v>3</v>
      </c>
      <c r="L210" s="3" t="str">
        <f aca="false">IF(NOT(C210),"Unconfirmed",IF(NOT(B210),"Unbooked",IF(D210&lt;&gt;E210,"Counterparty",IF(ABS(F210-G210)&gt;F210*Rules!$B$4/10000,"Notional",IF(H210&lt;&gt;I210,"Rate or price",IF(J210&lt;&gt;K210,"Value date","Matched"))))))</f>
        <v>Matched</v>
      </c>
      <c r="M210" s="3" t="n">
        <f aca="false">IF(B210,INDEX(Booking!$G:$G,MATCH(A210,Booking!$A:$A,0)),INDEX(Confirmations!$G:$G,MATCH(A210,Confirmations!$A:$A,0)))</f>
        <v>0</v>
      </c>
      <c r="N210" s="13" t="b">
        <f aca="false">AND(L210&lt;&gt;"Matched",M210&gt;Rules!$B$5)</f>
        <v>0</v>
      </c>
      <c r="O210" s="3" t="str">
        <f aca="false">INDEX(Rules!$B$8:$B$14,MATCH(L210,Rules!$A$8:$A$14,0))</f>
        <v>None</v>
      </c>
    </row>
    <row r="211" customFormat="false" ht="15" hidden="false" customHeight="false" outlineLevel="0" collapsed="false">
      <c r="A211" s="3" t="s">
        <v>252</v>
      </c>
      <c r="B211" s="13" t="b">
        <f aca="false">ISNUMBER(MATCH(A211,Booking!$A:$A,0))</f>
        <v>1</v>
      </c>
      <c r="C211" s="13" t="b">
        <f aca="false">ISNUMBER(MATCH(A211,Confirmations!$A:$A,0))</f>
        <v>1</v>
      </c>
      <c r="D211" s="3" t="str">
        <f aca="false">IFERROR(INDEX(Booking!$C:$C,MATCH($A211,Booking!$A:$A,0)),"")</f>
        <v>Meridian Bank</v>
      </c>
      <c r="E211" s="3" t="str">
        <f aca="false">IFERROR(INDEX(Confirmations!$C:$C,MATCH($A211,Confirmations!$A:$A,0)),"")</f>
        <v>Meridian Bank</v>
      </c>
      <c r="F211" s="14" t="n">
        <f aca="false">IFERROR(INDEX(Booking!$D:$D,MATCH($A211,Booking!$A:$A,0)),"")</f>
        <v>42000000</v>
      </c>
      <c r="G211" s="14" t="n">
        <f aca="false">IFERROR(INDEX(Confirmations!$D:$D,MATCH($A211,Confirmations!$A:$A,0)),"")</f>
        <v>42000000</v>
      </c>
      <c r="H211" s="15" t="n">
        <f aca="false">IFERROR(INDEX(Booking!$E:$E,MATCH($A211,Booking!$A:$A,0)),"")</f>
        <v>1.9349</v>
      </c>
      <c r="I211" s="15" t="n">
        <f aca="false">IFERROR(INDEX(Confirmations!$E:$E,MATCH($A211,Confirmations!$A:$A,0)),"")</f>
        <v>1.9349</v>
      </c>
      <c r="J211" s="3" t="n">
        <f aca="false">IFERROR(INDEX(Booking!$F:$F,MATCH($A211,Booking!$A:$A,0)),"")</f>
        <v>3</v>
      </c>
      <c r="K211" s="3" t="n">
        <f aca="false">IFERROR(INDEX(Confirmations!$F:$F,MATCH($A211,Confirmations!$A:$A,0)),"")</f>
        <v>3</v>
      </c>
      <c r="L211" s="3" t="str">
        <f aca="false">IF(NOT(C211),"Unconfirmed",IF(NOT(B211),"Unbooked",IF(D211&lt;&gt;E211,"Counterparty",IF(ABS(F211-G211)&gt;F211*Rules!$B$4/10000,"Notional",IF(H211&lt;&gt;I211,"Rate or price",IF(J211&lt;&gt;K211,"Value date","Matched"))))))</f>
        <v>Matched</v>
      </c>
      <c r="M211" s="3" t="n">
        <f aca="false">IF(B211,INDEX(Booking!$G:$G,MATCH(A211,Booking!$A:$A,0)),INDEX(Confirmations!$G:$G,MATCH(A211,Confirmations!$A:$A,0)))</f>
        <v>0</v>
      </c>
      <c r="N211" s="13" t="b">
        <f aca="false">AND(L211&lt;&gt;"Matched",M211&gt;Rules!$B$5)</f>
        <v>0</v>
      </c>
      <c r="O211" s="3" t="str">
        <f aca="false">INDEX(Rules!$B$8:$B$14,MATCH(L211,Rules!$A$8:$A$14,0))</f>
        <v>None</v>
      </c>
    </row>
    <row r="212" customFormat="false" ht="15" hidden="false" customHeight="false" outlineLevel="0" collapsed="false">
      <c r="A212" s="3" t="s">
        <v>253</v>
      </c>
      <c r="B212" s="13" t="b">
        <f aca="false">ISNUMBER(MATCH(A212,Booking!$A:$A,0))</f>
        <v>1</v>
      </c>
      <c r="C212" s="13" t="b">
        <f aca="false">ISNUMBER(MATCH(A212,Confirmations!$A:$A,0))</f>
        <v>1</v>
      </c>
      <c r="D212" s="3" t="str">
        <f aca="false">IFERROR(INDEX(Booking!$C:$C,MATCH($A212,Booking!$A:$A,0)),"")</f>
        <v>Northbay Pension Fund</v>
      </c>
      <c r="E212" s="3" t="str">
        <f aca="false">IFERROR(INDEX(Confirmations!$C:$C,MATCH($A212,Confirmations!$A:$A,0)),"")</f>
        <v>Northbay Pension Fund</v>
      </c>
      <c r="F212" s="14" t="n">
        <f aca="false">IFERROR(INDEX(Booking!$D:$D,MATCH($A212,Booking!$A:$A,0)),"")</f>
        <v>34000000</v>
      </c>
      <c r="G212" s="14" t="n">
        <f aca="false">IFERROR(INDEX(Confirmations!$D:$D,MATCH($A212,Confirmations!$A:$A,0)),"")</f>
        <v>34000000</v>
      </c>
      <c r="H212" s="15" t="n">
        <f aca="false">IFERROR(INDEX(Booking!$E:$E,MATCH($A212,Booking!$A:$A,0)),"")</f>
        <v>3.2035</v>
      </c>
      <c r="I212" s="15" t="n">
        <f aca="false">IFERROR(INDEX(Confirmations!$E:$E,MATCH($A212,Confirmations!$A:$A,0)),"")</f>
        <v>3.2035</v>
      </c>
      <c r="J212" s="3" t="n">
        <f aca="false">IFERROR(INDEX(Booking!$F:$F,MATCH($A212,Booking!$A:$A,0)),"")</f>
        <v>3</v>
      </c>
      <c r="K212" s="3" t="n">
        <f aca="false">IFERROR(INDEX(Confirmations!$F:$F,MATCH($A212,Confirmations!$A:$A,0)),"")</f>
        <v>3</v>
      </c>
      <c r="L212" s="3" t="str">
        <f aca="false">IF(NOT(C212),"Unconfirmed",IF(NOT(B212),"Unbooked",IF(D212&lt;&gt;E212,"Counterparty",IF(ABS(F212-G212)&gt;F212*Rules!$B$4/10000,"Notional",IF(H212&lt;&gt;I212,"Rate or price",IF(J212&lt;&gt;K212,"Value date","Matched"))))))</f>
        <v>Matched</v>
      </c>
      <c r="M212" s="3" t="n">
        <f aca="false">IF(B212,INDEX(Booking!$G:$G,MATCH(A212,Booking!$A:$A,0)),INDEX(Confirmations!$G:$G,MATCH(A212,Confirmations!$A:$A,0)))</f>
        <v>0</v>
      </c>
      <c r="N212" s="13" t="b">
        <f aca="false">AND(L212&lt;&gt;"Matched",M212&gt;Rules!$B$5)</f>
        <v>0</v>
      </c>
      <c r="O212" s="3" t="str">
        <f aca="false">INDEX(Rules!$B$8:$B$14,MATCH(L212,Rules!$A$8:$A$14,0))</f>
        <v>None</v>
      </c>
    </row>
    <row r="213" customFormat="false" ht="15" hidden="false" customHeight="false" outlineLevel="0" collapsed="false">
      <c r="A213" s="3" t="s">
        <v>254</v>
      </c>
      <c r="B213" s="13" t="b">
        <f aca="false">ISNUMBER(MATCH(A213,Booking!$A:$A,0))</f>
        <v>1</v>
      </c>
      <c r="C213" s="13" t="b">
        <f aca="false">ISNUMBER(MATCH(A213,Confirmations!$A:$A,0))</f>
        <v>1</v>
      </c>
      <c r="D213" s="3" t="str">
        <f aca="false">IFERROR(INDEX(Booking!$C:$C,MATCH($A213,Booking!$A:$A,0)),"")</f>
        <v>Kestrel Macro Fund</v>
      </c>
      <c r="E213" s="3" t="str">
        <f aca="false">IFERROR(INDEX(Confirmations!$C:$C,MATCH($A213,Confirmations!$A:$A,0)),"")</f>
        <v>Kestrel Macro Fund</v>
      </c>
      <c r="F213" s="14" t="n">
        <f aca="false">IFERROR(INDEX(Booking!$D:$D,MATCH($A213,Booking!$A:$A,0)),"")</f>
        <v>9000000</v>
      </c>
      <c r="G213" s="14" t="n">
        <f aca="false">IFERROR(INDEX(Confirmations!$D:$D,MATCH($A213,Confirmations!$A:$A,0)),"")</f>
        <v>9000000</v>
      </c>
      <c r="H213" s="15" t="n">
        <f aca="false">IFERROR(INDEX(Booking!$E:$E,MATCH($A213,Booking!$A:$A,0)),"")</f>
        <v>4.4927</v>
      </c>
      <c r="I213" s="15" t="n">
        <f aca="false">IFERROR(INDEX(Confirmations!$E:$E,MATCH($A213,Confirmations!$A:$A,0)),"")</f>
        <v>4.4927</v>
      </c>
      <c r="J213" s="3" t="n">
        <f aca="false">IFERROR(INDEX(Booking!$F:$F,MATCH($A213,Booking!$A:$A,0)),"")</f>
        <v>3</v>
      </c>
      <c r="K213" s="3" t="n">
        <f aca="false">IFERROR(INDEX(Confirmations!$F:$F,MATCH($A213,Confirmations!$A:$A,0)),"")</f>
        <v>3</v>
      </c>
      <c r="L213" s="3" t="str">
        <f aca="false">IF(NOT(C213),"Unconfirmed",IF(NOT(B213),"Unbooked",IF(D213&lt;&gt;E213,"Counterparty",IF(ABS(F213-G213)&gt;F213*Rules!$B$4/10000,"Notional",IF(H213&lt;&gt;I213,"Rate or price",IF(J213&lt;&gt;K213,"Value date","Matched"))))))</f>
        <v>Matched</v>
      </c>
      <c r="M213" s="3" t="n">
        <f aca="false">IF(B213,INDEX(Booking!$G:$G,MATCH(A213,Booking!$A:$A,0)),INDEX(Confirmations!$G:$G,MATCH(A213,Confirmations!$A:$A,0)))</f>
        <v>3</v>
      </c>
      <c r="N213" s="13" t="b">
        <f aca="false">AND(L213&lt;&gt;"Matched",M213&gt;Rules!$B$5)</f>
        <v>0</v>
      </c>
      <c r="O213" s="3" t="str">
        <f aca="false">INDEX(Rules!$B$8:$B$14,MATCH(L213,Rules!$A$8:$A$14,0))</f>
        <v>None</v>
      </c>
    </row>
    <row r="214" customFormat="false" ht="15" hidden="false" customHeight="false" outlineLevel="0" collapsed="false">
      <c r="A214" s="3" t="s">
        <v>255</v>
      </c>
      <c r="B214" s="13" t="b">
        <f aca="false">ISNUMBER(MATCH(A214,Booking!$A:$A,0))</f>
        <v>1</v>
      </c>
      <c r="C214" s="13" t="b">
        <f aca="false">ISNUMBER(MATCH(A214,Confirmations!$A:$A,0))</f>
        <v>1</v>
      </c>
      <c r="D214" s="3" t="str">
        <f aca="false">IFERROR(INDEX(Booking!$C:$C,MATCH($A214,Booking!$A:$A,0)),"")</f>
        <v>Solent Asset Management</v>
      </c>
      <c r="E214" s="3" t="str">
        <f aca="false">IFERROR(INDEX(Confirmations!$C:$C,MATCH($A214,Confirmations!$A:$A,0)),"")</f>
        <v>Solent Asset Management</v>
      </c>
      <c r="F214" s="14" t="n">
        <f aca="false">IFERROR(INDEX(Booking!$D:$D,MATCH($A214,Booking!$A:$A,0)),"")</f>
        <v>23000000</v>
      </c>
      <c r="G214" s="14" t="n">
        <f aca="false">IFERROR(INDEX(Confirmations!$D:$D,MATCH($A214,Confirmations!$A:$A,0)),"")</f>
        <v>23000000</v>
      </c>
      <c r="H214" s="15" t="n">
        <f aca="false">IFERROR(INDEX(Booking!$E:$E,MATCH($A214,Booking!$A:$A,0)),"")</f>
        <v>2.9643</v>
      </c>
      <c r="I214" s="15" t="n">
        <f aca="false">IFERROR(INDEX(Confirmations!$E:$E,MATCH($A214,Confirmations!$A:$A,0)),"")</f>
        <v>2.9643</v>
      </c>
      <c r="J214" s="3" t="n">
        <f aca="false">IFERROR(INDEX(Booking!$F:$F,MATCH($A214,Booking!$A:$A,0)),"")</f>
        <v>3</v>
      </c>
      <c r="K214" s="3" t="n">
        <f aca="false">IFERROR(INDEX(Confirmations!$F:$F,MATCH($A214,Confirmations!$A:$A,0)),"")</f>
        <v>3</v>
      </c>
      <c r="L214" s="3" t="str">
        <f aca="false">IF(NOT(C214),"Unconfirmed",IF(NOT(B214),"Unbooked",IF(D214&lt;&gt;E214,"Counterparty",IF(ABS(F214-G214)&gt;F214*Rules!$B$4/10000,"Notional",IF(H214&lt;&gt;I214,"Rate or price",IF(J214&lt;&gt;K214,"Value date","Matched"))))))</f>
        <v>Matched</v>
      </c>
      <c r="M214" s="3" t="n">
        <f aca="false">IF(B214,INDEX(Booking!$G:$G,MATCH(A214,Booking!$A:$A,0)),INDEX(Confirmations!$G:$G,MATCH(A214,Confirmations!$A:$A,0)))</f>
        <v>5</v>
      </c>
      <c r="N214" s="13" t="b">
        <f aca="false">AND(L214&lt;&gt;"Matched",M214&gt;Rules!$B$5)</f>
        <v>0</v>
      </c>
      <c r="O214" s="3" t="str">
        <f aca="false">INDEX(Rules!$B$8:$B$14,MATCH(L214,Rules!$A$8:$A$14,0))</f>
        <v>None</v>
      </c>
    </row>
    <row r="215" customFormat="false" ht="15" hidden="false" customHeight="false" outlineLevel="0" collapsed="false">
      <c r="A215" s="3" t="s">
        <v>256</v>
      </c>
      <c r="B215" s="13" t="b">
        <f aca="false">ISNUMBER(MATCH(A215,Booking!$A:$A,0))</f>
        <v>1</v>
      </c>
      <c r="C215" s="13" t="b">
        <f aca="false">ISNUMBER(MATCH(A215,Confirmations!$A:$A,0))</f>
        <v>1</v>
      </c>
      <c r="D215" s="3" t="str">
        <f aca="false">IFERROR(INDEX(Booking!$C:$C,MATCH($A215,Booking!$A:$A,0)),"")</f>
        <v>Tarn Energy Trading</v>
      </c>
      <c r="E215" s="3" t="str">
        <f aca="false">IFERROR(INDEX(Confirmations!$C:$C,MATCH($A215,Confirmations!$A:$A,0)),"")</f>
        <v>Tarn Energy Trading</v>
      </c>
      <c r="F215" s="14" t="n">
        <f aca="false">IFERROR(INDEX(Booking!$D:$D,MATCH($A215,Booking!$A:$A,0)),"")</f>
        <v>19000000</v>
      </c>
      <c r="G215" s="14" t="n">
        <f aca="false">IFERROR(INDEX(Confirmations!$D:$D,MATCH($A215,Confirmations!$A:$A,0)),"")</f>
        <v>19000000</v>
      </c>
      <c r="H215" s="15" t="n">
        <f aca="false">IFERROR(INDEX(Booking!$E:$E,MATCH($A215,Booking!$A:$A,0)),"")</f>
        <v>6.9332</v>
      </c>
      <c r="I215" s="15" t="n">
        <f aca="false">IFERROR(INDEX(Confirmations!$E:$E,MATCH($A215,Confirmations!$A:$A,0)),"")</f>
        <v>6.9332</v>
      </c>
      <c r="J215" s="3" t="n">
        <f aca="false">IFERROR(INDEX(Booking!$F:$F,MATCH($A215,Booking!$A:$A,0)),"")</f>
        <v>2</v>
      </c>
      <c r="K215" s="3" t="n">
        <f aca="false">IFERROR(INDEX(Confirmations!$F:$F,MATCH($A215,Confirmations!$A:$A,0)),"")</f>
        <v>2</v>
      </c>
      <c r="L215" s="3" t="str">
        <f aca="false">IF(NOT(C215),"Unconfirmed",IF(NOT(B215),"Unbooked",IF(D215&lt;&gt;E215,"Counterparty",IF(ABS(F215-G215)&gt;F215*Rules!$B$4/10000,"Notional",IF(H215&lt;&gt;I215,"Rate or price",IF(J215&lt;&gt;K215,"Value date","Matched"))))))</f>
        <v>Matched</v>
      </c>
      <c r="M215" s="3" t="n">
        <f aca="false">IF(B215,INDEX(Booking!$G:$G,MATCH(A215,Booking!$A:$A,0)),INDEX(Confirmations!$G:$G,MATCH(A215,Confirmations!$A:$A,0)))</f>
        <v>4</v>
      </c>
      <c r="N215" s="13" t="b">
        <f aca="false">AND(L215&lt;&gt;"Matched",M215&gt;Rules!$B$5)</f>
        <v>0</v>
      </c>
      <c r="O215" s="3" t="str">
        <f aca="false">INDEX(Rules!$B$8:$B$14,MATCH(L215,Rules!$A$8:$A$14,0))</f>
        <v>None</v>
      </c>
    </row>
    <row r="216" customFormat="false" ht="15" hidden="false" customHeight="false" outlineLevel="0" collapsed="false">
      <c r="A216" s="3" t="s">
        <v>257</v>
      </c>
      <c r="B216" s="13" t="b">
        <f aca="false">ISNUMBER(MATCH(A216,Booking!$A:$A,0))</f>
        <v>1</v>
      </c>
      <c r="C216" s="13" t="b">
        <f aca="false">ISNUMBER(MATCH(A216,Confirmations!$A:$A,0))</f>
        <v>1</v>
      </c>
      <c r="D216" s="3" t="str">
        <f aca="false">IFERROR(INDEX(Booking!$C:$C,MATCH($A216,Booking!$A:$A,0)),"")</f>
        <v>Tarn Energy Trading</v>
      </c>
      <c r="E216" s="3" t="str">
        <f aca="false">IFERROR(INDEX(Confirmations!$C:$C,MATCH($A216,Confirmations!$A:$A,0)),"")</f>
        <v>Tarn Energy Trading</v>
      </c>
      <c r="F216" s="14" t="n">
        <f aca="false">IFERROR(INDEX(Booking!$D:$D,MATCH($A216,Booking!$A:$A,0)),"")</f>
        <v>27000000</v>
      </c>
      <c r="G216" s="14" t="n">
        <f aca="false">IFERROR(INDEX(Confirmations!$D:$D,MATCH($A216,Confirmations!$A:$A,0)),"")</f>
        <v>27000000</v>
      </c>
      <c r="H216" s="15" t="n">
        <f aca="false">IFERROR(INDEX(Booking!$E:$E,MATCH($A216,Booking!$A:$A,0)),"")</f>
        <v>6.9083</v>
      </c>
      <c r="I216" s="15" t="n">
        <f aca="false">IFERROR(INDEX(Confirmations!$E:$E,MATCH($A216,Confirmations!$A:$A,0)),"")</f>
        <v>6.9083</v>
      </c>
      <c r="J216" s="3" t="n">
        <f aca="false">IFERROR(INDEX(Booking!$F:$F,MATCH($A216,Booking!$A:$A,0)),"")</f>
        <v>3</v>
      </c>
      <c r="K216" s="3" t="n">
        <f aca="false">IFERROR(INDEX(Confirmations!$F:$F,MATCH($A216,Confirmations!$A:$A,0)),"")</f>
        <v>3</v>
      </c>
      <c r="L216" s="3" t="str">
        <f aca="false">IF(NOT(C216),"Unconfirmed",IF(NOT(B216),"Unbooked",IF(D216&lt;&gt;E216,"Counterparty",IF(ABS(F216-G216)&gt;F216*Rules!$B$4/10000,"Notional",IF(H216&lt;&gt;I216,"Rate or price",IF(J216&lt;&gt;K216,"Value date","Matched"))))))</f>
        <v>Matched</v>
      </c>
      <c r="M216" s="3" t="n">
        <f aca="false">IF(B216,INDEX(Booking!$G:$G,MATCH(A216,Booking!$A:$A,0)),INDEX(Confirmations!$G:$G,MATCH(A216,Confirmations!$A:$A,0)))</f>
        <v>0</v>
      </c>
      <c r="N216" s="13" t="b">
        <f aca="false">AND(L216&lt;&gt;"Matched",M216&gt;Rules!$B$5)</f>
        <v>0</v>
      </c>
      <c r="O216" s="3" t="str">
        <f aca="false">INDEX(Rules!$B$8:$B$14,MATCH(L216,Rules!$A$8:$A$14,0))</f>
        <v>None</v>
      </c>
    </row>
    <row r="217" customFormat="false" ht="15" hidden="false" customHeight="false" outlineLevel="0" collapsed="false">
      <c r="A217" s="3" t="s">
        <v>258</v>
      </c>
      <c r="B217" s="13" t="b">
        <f aca="false">ISNUMBER(MATCH(A217,Booking!$A:$A,0))</f>
        <v>1</v>
      </c>
      <c r="C217" s="13" t="b">
        <f aca="false">ISNUMBER(MATCH(A217,Confirmations!$A:$A,0))</f>
        <v>1</v>
      </c>
      <c r="D217" s="3" t="str">
        <f aca="false">IFERROR(INDEX(Booking!$C:$C,MATCH($A217,Booking!$A:$A,0)),"")</f>
        <v>Northbay Pension Fund</v>
      </c>
      <c r="E217" s="3" t="str">
        <f aca="false">IFERROR(INDEX(Confirmations!$C:$C,MATCH($A217,Confirmations!$A:$A,0)),"")</f>
        <v>Northbay Pension Fund</v>
      </c>
      <c r="F217" s="14" t="n">
        <f aca="false">IFERROR(INDEX(Booking!$D:$D,MATCH($A217,Booking!$A:$A,0)),"")</f>
        <v>9000000</v>
      </c>
      <c r="G217" s="14" t="n">
        <f aca="false">IFERROR(INDEX(Confirmations!$D:$D,MATCH($A217,Confirmations!$A:$A,0)),"")</f>
        <v>9000000</v>
      </c>
      <c r="H217" s="15" t="n">
        <f aca="false">IFERROR(INDEX(Booking!$E:$E,MATCH($A217,Booking!$A:$A,0)),"")</f>
        <v>1.5063</v>
      </c>
      <c r="I217" s="15" t="n">
        <f aca="false">IFERROR(INDEX(Confirmations!$E:$E,MATCH($A217,Confirmations!$A:$A,0)),"")</f>
        <v>1.5063</v>
      </c>
      <c r="J217" s="3" t="n">
        <f aca="false">IFERROR(INDEX(Booking!$F:$F,MATCH($A217,Booking!$A:$A,0)),"")</f>
        <v>1</v>
      </c>
      <c r="K217" s="3" t="n">
        <f aca="false">IFERROR(INDEX(Confirmations!$F:$F,MATCH($A217,Confirmations!$A:$A,0)),"")</f>
        <v>1</v>
      </c>
      <c r="L217" s="3" t="str">
        <f aca="false">IF(NOT(C217),"Unconfirmed",IF(NOT(B217),"Unbooked",IF(D217&lt;&gt;E217,"Counterparty",IF(ABS(F217-G217)&gt;F217*Rules!$B$4/10000,"Notional",IF(H217&lt;&gt;I217,"Rate or price",IF(J217&lt;&gt;K217,"Value date","Matched"))))))</f>
        <v>Matched</v>
      </c>
      <c r="M217" s="3" t="n">
        <f aca="false">IF(B217,INDEX(Booking!$G:$G,MATCH(A217,Booking!$A:$A,0)),INDEX(Confirmations!$G:$G,MATCH(A217,Confirmations!$A:$A,0)))</f>
        <v>8</v>
      </c>
      <c r="N217" s="13" t="b">
        <f aca="false">AND(L217&lt;&gt;"Matched",M217&gt;Rules!$B$5)</f>
        <v>0</v>
      </c>
      <c r="O217" s="3" t="str">
        <f aca="false">INDEX(Rules!$B$8:$B$14,MATCH(L217,Rules!$A$8:$A$14,0))</f>
        <v>None</v>
      </c>
    </row>
    <row r="218" customFormat="false" ht="15" hidden="false" customHeight="false" outlineLevel="0" collapsed="false">
      <c r="A218" s="3" t="s">
        <v>259</v>
      </c>
      <c r="B218" s="13" t="b">
        <f aca="false">ISNUMBER(MATCH(A218,Booking!$A:$A,0))</f>
        <v>1</v>
      </c>
      <c r="C218" s="13" t="b">
        <f aca="false">ISNUMBER(MATCH(A218,Confirmations!$A:$A,0))</f>
        <v>1</v>
      </c>
      <c r="D218" s="3" t="str">
        <f aca="false">IFERROR(INDEX(Booking!$C:$C,MATCH($A218,Booking!$A:$A,0)),"")</f>
        <v>Kestrel Macro Fund</v>
      </c>
      <c r="E218" s="3" t="str">
        <f aca="false">IFERROR(INDEX(Confirmations!$C:$C,MATCH($A218,Confirmations!$A:$A,0)),"")</f>
        <v>Kestrel Macro Fund</v>
      </c>
      <c r="F218" s="14" t="n">
        <f aca="false">IFERROR(INDEX(Booking!$D:$D,MATCH($A218,Booking!$A:$A,0)),"")</f>
        <v>44000000</v>
      </c>
      <c r="G218" s="14" t="n">
        <f aca="false">IFERROR(INDEX(Confirmations!$D:$D,MATCH($A218,Confirmations!$A:$A,0)),"")</f>
        <v>44000000</v>
      </c>
      <c r="H218" s="15" t="n">
        <f aca="false">IFERROR(INDEX(Booking!$E:$E,MATCH($A218,Booking!$A:$A,0)),"")</f>
        <v>5.4315</v>
      </c>
      <c r="I218" s="15" t="n">
        <f aca="false">IFERROR(INDEX(Confirmations!$E:$E,MATCH($A218,Confirmations!$A:$A,0)),"")</f>
        <v>5.4315</v>
      </c>
      <c r="J218" s="3" t="n">
        <f aca="false">IFERROR(INDEX(Booking!$F:$F,MATCH($A218,Booking!$A:$A,0)),"")</f>
        <v>1</v>
      </c>
      <c r="K218" s="3" t="n">
        <f aca="false">IFERROR(INDEX(Confirmations!$F:$F,MATCH($A218,Confirmations!$A:$A,0)),"")</f>
        <v>1</v>
      </c>
      <c r="L218" s="3" t="str">
        <f aca="false">IF(NOT(C218),"Unconfirmed",IF(NOT(B218),"Unbooked",IF(D218&lt;&gt;E218,"Counterparty",IF(ABS(F218-G218)&gt;F218*Rules!$B$4/10000,"Notional",IF(H218&lt;&gt;I218,"Rate or price",IF(J218&lt;&gt;K218,"Value date","Matched"))))))</f>
        <v>Matched</v>
      </c>
      <c r="M218" s="3" t="n">
        <f aca="false">IF(B218,INDEX(Booking!$G:$G,MATCH(A218,Booking!$A:$A,0)),INDEX(Confirmations!$G:$G,MATCH(A218,Confirmations!$A:$A,0)))</f>
        <v>4</v>
      </c>
      <c r="N218" s="13" t="b">
        <f aca="false">AND(L218&lt;&gt;"Matched",M218&gt;Rules!$B$5)</f>
        <v>0</v>
      </c>
      <c r="O218" s="3" t="str">
        <f aca="false">INDEX(Rules!$B$8:$B$14,MATCH(L218,Rules!$A$8:$A$14,0))</f>
        <v>None</v>
      </c>
    </row>
    <row r="219" customFormat="false" ht="15" hidden="false" customHeight="false" outlineLevel="0" collapsed="false">
      <c r="A219" s="3" t="s">
        <v>260</v>
      </c>
      <c r="B219" s="13" t="b">
        <f aca="false">ISNUMBER(MATCH(A219,Booking!$A:$A,0))</f>
        <v>1</v>
      </c>
      <c r="C219" s="13" t="b">
        <f aca="false">ISNUMBER(MATCH(A219,Confirmations!$A:$A,0))</f>
        <v>1</v>
      </c>
      <c r="D219" s="3" t="str">
        <f aca="false">IFERROR(INDEX(Booking!$C:$C,MATCH($A219,Booking!$A:$A,0)),"")</f>
        <v>Vale Corporate Treasury</v>
      </c>
      <c r="E219" s="3" t="str">
        <f aca="false">IFERROR(INDEX(Confirmations!$C:$C,MATCH($A219,Confirmations!$A:$A,0)),"")</f>
        <v>Vale Corporate Treasury</v>
      </c>
      <c r="F219" s="14" t="n">
        <f aca="false">IFERROR(INDEX(Booking!$D:$D,MATCH($A219,Booking!$A:$A,0)),"")</f>
        <v>30000000</v>
      </c>
      <c r="G219" s="14" t="n">
        <f aca="false">IFERROR(INDEX(Confirmations!$D:$D,MATCH($A219,Confirmations!$A:$A,0)),"")</f>
        <v>30000000</v>
      </c>
      <c r="H219" s="15" t="n">
        <f aca="false">IFERROR(INDEX(Booking!$E:$E,MATCH($A219,Booking!$A:$A,0)),"")</f>
        <v>5.8806</v>
      </c>
      <c r="I219" s="15" t="n">
        <f aca="false">IFERROR(INDEX(Confirmations!$E:$E,MATCH($A219,Confirmations!$A:$A,0)),"")</f>
        <v>5.8806</v>
      </c>
      <c r="J219" s="3" t="n">
        <f aca="false">IFERROR(INDEX(Booking!$F:$F,MATCH($A219,Booking!$A:$A,0)),"")</f>
        <v>1</v>
      </c>
      <c r="K219" s="3" t="n">
        <f aca="false">IFERROR(INDEX(Confirmations!$F:$F,MATCH($A219,Confirmations!$A:$A,0)),"")</f>
        <v>1</v>
      </c>
      <c r="L219" s="3" t="str">
        <f aca="false">IF(NOT(C219),"Unconfirmed",IF(NOT(B219),"Unbooked",IF(D219&lt;&gt;E219,"Counterparty",IF(ABS(F219-G219)&gt;F219*Rules!$B$4/10000,"Notional",IF(H219&lt;&gt;I219,"Rate or price",IF(J219&lt;&gt;K219,"Value date","Matched"))))))</f>
        <v>Matched</v>
      </c>
      <c r="M219" s="3" t="n">
        <f aca="false">IF(B219,INDEX(Booking!$G:$G,MATCH(A219,Booking!$A:$A,0)),INDEX(Confirmations!$G:$G,MATCH(A219,Confirmations!$A:$A,0)))</f>
        <v>1</v>
      </c>
      <c r="N219" s="13" t="b">
        <f aca="false">AND(L219&lt;&gt;"Matched",M219&gt;Rules!$B$5)</f>
        <v>0</v>
      </c>
      <c r="O219" s="3" t="str">
        <f aca="false">INDEX(Rules!$B$8:$B$14,MATCH(L219,Rules!$A$8:$A$14,0))</f>
        <v>None</v>
      </c>
    </row>
    <row r="220" customFormat="false" ht="15" hidden="false" customHeight="false" outlineLevel="0" collapsed="false">
      <c r="A220" s="3" t="s">
        <v>261</v>
      </c>
      <c r="B220" s="13" t="b">
        <f aca="false">ISNUMBER(MATCH(A220,Booking!$A:$A,0))</f>
        <v>1</v>
      </c>
      <c r="C220" s="13" t="b">
        <f aca="false">ISNUMBER(MATCH(A220,Confirmations!$A:$A,0))</f>
        <v>1</v>
      </c>
      <c r="D220" s="3" t="str">
        <f aca="false">IFERROR(INDEX(Booking!$C:$C,MATCH($A220,Booking!$A:$A,0)),"")</f>
        <v>Northbay Pension Fund</v>
      </c>
      <c r="E220" s="3" t="str">
        <f aca="false">IFERROR(INDEX(Confirmations!$C:$C,MATCH($A220,Confirmations!$A:$A,0)),"")</f>
        <v>Northbay Pension Fund</v>
      </c>
      <c r="F220" s="14" t="n">
        <f aca="false">IFERROR(INDEX(Booking!$D:$D,MATCH($A220,Booking!$A:$A,0)),"")</f>
        <v>5000000</v>
      </c>
      <c r="G220" s="14" t="n">
        <f aca="false">IFERROR(INDEX(Confirmations!$D:$D,MATCH($A220,Confirmations!$A:$A,0)),"")</f>
        <v>5000000</v>
      </c>
      <c r="H220" s="15" t="n">
        <f aca="false">IFERROR(INDEX(Booking!$E:$E,MATCH($A220,Booking!$A:$A,0)),"")</f>
        <v>5.0609</v>
      </c>
      <c r="I220" s="15" t="n">
        <f aca="false">IFERROR(INDEX(Confirmations!$E:$E,MATCH($A220,Confirmations!$A:$A,0)),"")</f>
        <v>5.0609</v>
      </c>
      <c r="J220" s="3" t="n">
        <f aca="false">IFERROR(INDEX(Booking!$F:$F,MATCH($A220,Booking!$A:$A,0)),"")</f>
        <v>3</v>
      </c>
      <c r="K220" s="3" t="n">
        <f aca="false">IFERROR(INDEX(Confirmations!$F:$F,MATCH($A220,Confirmations!$A:$A,0)),"")</f>
        <v>3</v>
      </c>
      <c r="L220" s="3" t="str">
        <f aca="false">IF(NOT(C220),"Unconfirmed",IF(NOT(B220),"Unbooked",IF(D220&lt;&gt;E220,"Counterparty",IF(ABS(F220-G220)&gt;F220*Rules!$B$4/10000,"Notional",IF(H220&lt;&gt;I220,"Rate or price",IF(J220&lt;&gt;K220,"Value date","Matched"))))))</f>
        <v>Matched</v>
      </c>
      <c r="M220" s="3" t="n">
        <f aca="false">IF(B220,INDEX(Booking!$G:$G,MATCH(A220,Booking!$A:$A,0)),INDEX(Confirmations!$G:$G,MATCH(A220,Confirmations!$A:$A,0)))</f>
        <v>2</v>
      </c>
      <c r="N220" s="13" t="b">
        <f aca="false">AND(L220&lt;&gt;"Matched",M220&gt;Rules!$B$5)</f>
        <v>0</v>
      </c>
      <c r="O220" s="3" t="str">
        <f aca="false">INDEX(Rules!$B$8:$B$14,MATCH(L220,Rules!$A$8:$A$14,0))</f>
        <v>None</v>
      </c>
    </row>
    <row r="221" customFormat="false" ht="15" hidden="false" customHeight="false" outlineLevel="0" collapsed="false">
      <c r="A221" s="3" t="s">
        <v>262</v>
      </c>
      <c r="B221" s="13" t="b">
        <f aca="false">ISNUMBER(MATCH(A221,Booking!$A:$A,0))</f>
        <v>1</v>
      </c>
      <c r="C221" s="13" t="b">
        <f aca="false">ISNUMBER(MATCH(A221,Confirmations!$A:$A,0))</f>
        <v>1</v>
      </c>
      <c r="D221" s="3" t="str">
        <f aca="false">IFERROR(INDEX(Booking!$C:$C,MATCH($A221,Booking!$A:$A,0)),"")</f>
        <v>Kestrel Macro Fund</v>
      </c>
      <c r="E221" s="3" t="str">
        <f aca="false">IFERROR(INDEX(Confirmations!$C:$C,MATCH($A221,Confirmations!$A:$A,0)),"")</f>
        <v>Kestrel Macro Fund</v>
      </c>
      <c r="F221" s="14" t="n">
        <f aca="false">IFERROR(INDEX(Booking!$D:$D,MATCH($A221,Booking!$A:$A,0)),"")</f>
        <v>15000000</v>
      </c>
      <c r="G221" s="14" t="n">
        <f aca="false">IFERROR(INDEX(Confirmations!$D:$D,MATCH($A221,Confirmations!$A:$A,0)),"")</f>
        <v>15000000</v>
      </c>
      <c r="H221" s="15" t="n">
        <f aca="false">IFERROR(INDEX(Booking!$E:$E,MATCH($A221,Booking!$A:$A,0)),"")</f>
        <v>2.9695</v>
      </c>
      <c r="I221" s="15" t="n">
        <f aca="false">IFERROR(INDEX(Confirmations!$E:$E,MATCH($A221,Confirmations!$A:$A,0)),"")</f>
        <v>2.9695</v>
      </c>
      <c r="J221" s="3" t="n">
        <f aca="false">IFERROR(INDEX(Booking!$F:$F,MATCH($A221,Booking!$A:$A,0)),"")</f>
        <v>1</v>
      </c>
      <c r="K221" s="3" t="n">
        <f aca="false">IFERROR(INDEX(Confirmations!$F:$F,MATCH($A221,Confirmations!$A:$A,0)),"")</f>
        <v>1</v>
      </c>
      <c r="L221" s="3" t="str">
        <f aca="false">IF(NOT(C221),"Unconfirmed",IF(NOT(B221),"Unbooked",IF(D221&lt;&gt;E221,"Counterparty",IF(ABS(F221-G221)&gt;F221*Rules!$B$4/10000,"Notional",IF(H221&lt;&gt;I221,"Rate or price",IF(J221&lt;&gt;K221,"Value date","Matched"))))))</f>
        <v>Matched</v>
      </c>
      <c r="M221" s="3" t="n">
        <f aca="false">IF(B221,INDEX(Booking!$G:$G,MATCH(A221,Booking!$A:$A,0)),INDEX(Confirmations!$G:$G,MATCH(A221,Confirmations!$A:$A,0)))</f>
        <v>0</v>
      </c>
      <c r="N221" s="13" t="b">
        <f aca="false">AND(L221&lt;&gt;"Matched",M221&gt;Rules!$B$5)</f>
        <v>0</v>
      </c>
      <c r="O221" s="3" t="str">
        <f aca="false">INDEX(Rules!$B$8:$B$14,MATCH(L221,Rules!$A$8:$A$14,0))</f>
        <v>None</v>
      </c>
    </row>
    <row r="222" customFormat="false" ht="15" hidden="false" customHeight="false" outlineLevel="0" collapsed="false">
      <c r="A222" s="3" t="s">
        <v>263</v>
      </c>
      <c r="B222" s="13" t="b">
        <f aca="false">ISNUMBER(MATCH(A222,Booking!$A:$A,0))</f>
        <v>1</v>
      </c>
      <c r="C222" s="13" t="b">
        <f aca="false">ISNUMBER(MATCH(A222,Confirmations!$A:$A,0))</f>
        <v>1</v>
      </c>
      <c r="D222" s="3" t="str">
        <f aca="false">IFERROR(INDEX(Booking!$C:$C,MATCH($A222,Booking!$A:$A,0)),"")</f>
        <v>Tarn Energy Trading</v>
      </c>
      <c r="E222" s="3" t="str">
        <f aca="false">IFERROR(INDEX(Confirmations!$C:$C,MATCH($A222,Confirmations!$A:$A,0)),"")</f>
        <v>Tarn Energy Trading</v>
      </c>
      <c r="F222" s="14" t="n">
        <f aca="false">IFERROR(INDEX(Booking!$D:$D,MATCH($A222,Booking!$A:$A,0)),"")</f>
        <v>21000000</v>
      </c>
      <c r="G222" s="14" t="n">
        <f aca="false">IFERROR(INDEX(Confirmations!$D:$D,MATCH($A222,Confirmations!$A:$A,0)),"")</f>
        <v>21000000</v>
      </c>
      <c r="H222" s="15" t="n">
        <f aca="false">IFERROR(INDEX(Booking!$E:$E,MATCH($A222,Booking!$A:$A,0)),"")</f>
        <v>2.9483</v>
      </c>
      <c r="I222" s="15" t="n">
        <f aca="false">IFERROR(INDEX(Confirmations!$E:$E,MATCH($A222,Confirmations!$A:$A,0)),"")</f>
        <v>2.9483</v>
      </c>
      <c r="J222" s="3" t="n">
        <f aca="false">IFERROR(INDEX(Booking!$F:$F,MATCH($A222,Booking!$A:$A,0)),"")</f>
        <v>1</v>
      </c>
      <c r="K222" s="3" t="n">
        <f aca="false">IFERROR(INDEX(Confirmations!$F:$F,MATCH($A222,Confirmations!$A:$A,0)),"")</f>
        <v>1</v>
      </c>
      <c r="L222" s="3" t="str">
        <f aca="false">IF(NOT(C222),"Unconfirmed",IF(NOT(B222),"Unbooked",IF(D222&lt;&gt;E222,"Counterparty",IF(ABS(F222-G222)&gt;F222*Rules!$B$4/10000,"Notional",IF(H222&lt;&gt;I222,"Rate or price",IF(J222&lt;&gt;K222,"Value date","Matched"))))))</f>
        <v>Matched</v>
      </c>
      <c r="M222" s="3" t="n">
        <f aca="false">IF(B222,INDEX(Booking!$G:$G,MATCH(A222,Booking!$A:$A,0)),INDEX(Confirmations!$G:$G,MATCH(A222,Confirmations!$A:$A,0)))</f>
        <v>4</v>
      </c>
      <c r="N222" s="13" t="b">
        <f aca="false">AND(L222&lt;&gt;"Matched",M222&gt;Rules!$B$5)</f>
        <v>0</v>
      </c>
      <c r="O222" s="3" t="str">
        <f aca="false">INDEX(Rules!$B$8:$B$14,MATCH(L222,Rules!$A$8:$A$14,0))</f>
        <v>None</v>
      </c>
    </row>
    <row r="223" customFormat="false" ht="15" hidden="false" customHeight="false" outlineLevel="0" collapsed="false">
      <c r="A223" s="3" t="s">
        <v>264</v>
      </c>
      <c r="B223" s="13" t="b">
        <f aca="false">ISNUMBER(MATCH(A223,Booking!$A:$A,0))</f>
        <v>1</v>
      </c>
      <c r="C223" s="13" t="b">
        <f aca="false">ISNUMBER(MATCH(A223,Confirmations!$A:$A,0))</f>
        <v>1</v>
      </c>
      <c r="D223" s="3" t="str">
        <f aca="false">IFERROR(INDEX(Booking!$C:$C,MATCH($A223,Booking!$A:$A,0)),"")</f>
        <v>Aldridge Capital</v>
      </c>
      <c r="E223" s="3" t="str">
        <f aca="false">IFERROR(INDEX(Confirmations!$C:$C,MATCH($A223,Confirmations!$A:$A,0)),"")</f>
        <v>Aldridge Capital</v>
      </c>
      <c r="F223" s="14" t="n">
        <f aca="false">IFERROR(INDEX(Booking!$D:$D,MATCH($A223,Booking!$A:$A,0)),"")</f>
        <v>28000000</v>
      </c>
      <c r="G223" s="14" t="n">
        <f aca="false">IFERROR(INDEX(Confirmations!$D:$D,MATCH($A223,Confirmations!$A:$A,0)),"")</f>
        <v>28000000</v>
      </c>
      <c r="H223" s="15" t="n">
        <f aca="false">IFERROR(INDEX(Booking!$E:$E,MATCH($A223,Booking!$A:$A,0)),"")</f>
        <v>6.6578</v>
      </c>
      <c r="I223" s="15" t="n">
        <f aca="false">IFERROR(INDEX(Confirmations!$E:$E,MATCH($A223,Confirmations!$A:$A,0)),"")</f>
        <v>6.6578</v>
      </c>
      <c r="J223" s="3" t="n">
        <f aca="false">IFERROR(INDEX(Booking!$F:$F,MATCH($A223,Booking!$A:$A,0)),"")</f>
        <v>1</v>
      </c>
      <c r="K223" s="3" t="n">
        <f aca="false">IFERROR(INDEX(Confirmations!$F:$F,MATCH($A223,Confirmations!$A:$A,0)),"")</f>
        <v>1</v>
      </c>
      <c r="L223" s="3" t="str">
        <f aca="false">IF(NOT(C223),"Unconfirmed",IF(NOT(B223),"Unbooked",IF(D223&lt;&gt;E223,"Counterparty",IF(ABS(F223-G223)&gt;F223*Rules!$B$4/10000,"Notional",IF(H223&lt;&gt;I223,"Rate or price",IF(J223&lt;&gt;K223,"Value date","Matched"))))))</f>
        <v>Matched</v>
      </c>
      <c r="M223" s="3" t="n">
        <f aca="false">IF(B223,INDEX(Booking!$G:$G,MATCH(A223,Booking!$A:$A,0)),INDEX(Confirmations!$G:$G,MATCH(A223,Confirmations!$A:$A,0)))</f>
        <v>3</v>
      </c>
      <c r="N223" s="13" t="b">
        <f aca="false">AND(L223&lt;&gt;"Matched",M223&gt;Rules!$B$5)</f>
        <v>0</v>
      </c>
      <c r="O223" s="3" t="str">
        <f aca="false">INDEX(Rules!$B$8:$B$14,MATCH(L223,Rules!$A$8:$A$14,0))</f>
        <v>None</v>
      </c>
    </row>
    <row r="224" customFormat="false" ht="15" hidden="false" customHeight="false" outlineLevel="0" collapsed="false">
      <c r="A224" s="3" t="s">
        <v>265</v>
      </c>
      <c r="B224" s="13" t="b">
        <f aca="false">ISNUMBER(MATCH(A224,Booking!$A:$A,0))</f>
        <v>1</v>
      </c>
      <c r="C224" s="13" t="b">
        <f aca="false">ISNUMBER(MATCH(A224,Confirmations!$A:$A,0))</f>
        <v>1</v>
      </c>
      <c r="D224" s="3" t="str">
        <f aca="false">IFERROR(INDEX(Booking!$C:$C,MATCH($A224,Booking!$A:$A,0)),"")</f>
        <v>Northbay Pension Fund</v>
      </c>
      <c r="E224" s="3" t="str">
        <f aca="false">IFERROR(INDEX(Confirmations!$C:$C,MATCH($A224,Confirmations!$A:$A,0)),"")</f>
        <v>Northbay Pension Fund</v>
      </c>
      <c r="F224" s="14" t="n">
        <f aca="false">IFERROR(INDEX(Booking!$D:$D,MATCH($A224,Booking!$A:$A,0)),"")</f>
        <v>49000000</v>
      </c>
      <c r="G224" s="14" t="n">
        <f aca="false">IFERROR(INDEX(Confirmations!$D:$D,MATCH($A224,Confirmations!$A:$A,0)),"")</f>
        <v>49000000</v>
      </c>
      <c r="H224" s="15" t="n">
        <f aca="false">IFERROR(INDEX(Booking!$E:$E,MATCH($A224,Booking!$A:$A,0)),"")</f>
        <v>2.6351</v>
      </c>
      <c r="I224" s="15" t="n">
        <f aca="false">IFERROR(INDEX(Confirmations!$E:$E,MATCH($A224,Confirmations!$A:$A,0)),"")</f>
        <v>2.6351</v>
      </c>
      <c r="J224" s="3" t="n">
        <f aca="false">IFERROR(INDEX(Booking!$F:$F,MATCH($A224,Booking!$A:$A,0)),"")</f>
        <v>1</v>
      </c>
      <c r="K224" s="3" t="n">
        <f aca="false">IFERROR(INDEX(Confirmations!$F:$F,MATCH($A224,Confirmations!$A:$A,0)),"")</f>
        <v>1</v>
      </c>
      <c r="L224" s="3" t="str">
        <f aca="false">IF(NOT(C224),"Unconfirmed",IF(NOT(B224),"Unbooked",IF(D224&lt;&gt;E224,"Counterparty",IF(ABS(F224-G224)&gt;F224*Rules!$B$4/10000,"Notional",IF(H224&lt;&gt;I224,"Rate or price",IF(J224&lt;&gt;K224,"Value date","Matched"))))))</f>
        <v>Matched</v>
      </c>
      <c r="M224" s="3" t="n">
        <f aca="false">IF(B224,INDEX(Booking!$G:$G,MATCH(A224,Booking!$A:$A,0)),INDEX(Confirmations!$G:$G,MATCH(A224,Confirmations!$A:$A,0)))</f>
        <v>1</v>
      </c>
      <c r="N224" s="13" t="b">
        <f aca="false">AND(L224&lt;&gt;"Matched",M224&gt;Rules!$B$5)</f>
        <v>0</v>
      </c>
      <c r="O224" s="3" t="str">
        <f aca="false">INDEX(Rules!$B$8:$B$14,MATCH(L224,Rules!$A$8:$A$14,0))</f>
        <v>None</v>
      </c>
    </row>
    <row r="225" customFormat="false" ht="15" hidden="false" customHeight="false" outlineLevel="0" collapsed="false">
      <c r="A225" s="3" t="s">
        <v>266</v>
      </c>
      <c r="B225" s="13" t="b">
        <f aca="false">ISNUMBER(MATCH(A225,Booking!$A:$A,0))</f>
        <v>1</v>
      </c>
      <c r="C225" s="13" t="b">
        <f aca="false">ISNUMBER(MATCH(A225,Confirmations!$A:$A,0))</f>
        <v>1</v>
      </c>
      <c r="D225" s="3" t="str">
        <f aca="false">IFERROR(INDEX(Booking!$C:$C,MATCH($A225,Booking!$A:$A,0)),"")</f>
        <v>Northbay Pension Fund</v>
      </c>
      <c r="E225" s="3" t="str">
        <f aca="false">IFERROR(INDEX(Confirmations!$C:$C,MATCH($A225,Confirmations!$A:$A,0)),"")</f>
        <v>Northbay Pension Fund</v>
      </c>
      <c r="F225" s="14" t="n">
        <f aca="false">IFERROR(INDEX(Booking!$D:$D,MATCH($A225,Booking!$A:$A,0)),"")</f>
        <v>39000000</v>
      </c>
      <c r="G225" s="14" t="n">
        <f aca="false">IFERROR(INDEX(Confirmations!$D:$D,MATCH($A225,Confirmations!$A:$A,0)),"")</f>
        <v>39000000</v>
      </c>
      <c r="H225" s="15" t="n">
        <f aca="false">IFERROR(INDEX(Booking!$E:$E,MATCH($A225,Booking!$A:$A,0)),"")</f>
        <v>2.0373</v>
      </c>
      <c r="I225" s="15" t="n">
        <f aca="false">IFERROR(INDEX(Confirmations!$E:$E,MATCH($A225,Confirmations!$A:$A,0)),"")</f>
        <v>2.0373</v>
      </c>
      <c r="J225" s="3" t="n">
        <f aca="false">IFERROR(INDEX(Booking!$F:$F,MATCH($A225,Booking!$A:$A,0)),"")</f>
        <v>1</v>
      </c>
      <c r="K225" s="3" t="n">
        <f aca="false">IFERROR(INDEX(Confirmations!$F:$F,MATCH($A225,Confirmations!$A:$A,0)),"")</f>
        <v>1</v>
      </c>
      <c r="L225" s="3" t="str">
        <f aca="false">IF(NOT(C225),"Unconfirmed",IF(NOT(B225),"Unbooked",IF(D225&lt;&gt;E225,"Counterparty",IF(ABS(F225-G225)&gt;F225*Rules!$B$4/10000,"Notional",IF(H225&lt;&gt;I225,"Rate or price",IF(J225&lt;&gt;K225,"Value date","Matched"))))))</f>
        <v>Matched</v>
      </c>
      <c r="M225" s="3" t="n">
        <f aca="false">IF(B225,INDEX(Booking!$G:$G,MATCH(A225,Booking!$A:$A,0)),INDEX(Confirmations!$G:$G,MATCH(A225,Confirmations!$A:$A,0)))</f>
        <v>5</v>
      </c>
      <c r="N225" s="13" t="b">
        <f aca="false">AND(L225&lt;&gt;"Matched",M225&gt;Rules!$B$5)</f>
        <v>0</v>
      </c>
      <c r="O225" s="3" t="str">
        <f aca="false">INDEX(Rules!$B$8:$B$14,MATCH(L225,Rules!$A$8:$A$14,0))</f>
        <v>None</v>
      </c>
    </row>
    <row r="226" customFormat="false" ht="15" hidden="false" customHeight="false" outlineLevel="0" collapsed="false">
      <c r="A226" s="3" t="s">
        <v>267</v>
      </c>
      <c r="B226" s="13" t="b">
        <f aca="false">ISNUMBER(MATCH(A226,Booking!$A:$A,0))</f>
        <v>1</v>
      </c>
      <c r="C226" s="13" t="b">
        <f aca="false">ISNUMBER(MATCH(A226,Confirmations!$A:$A,0))</f>
        <v>1</v>
      </c>
      <c r="D226" s="3" t="str">
        <f aca="false">IFERROR(INDEX(Booking!$C:$C,MATCH($A226,Booking!$A:$A,0)),"")</f>
        <v>Northbay Pension Fund</v>
      </c>
      <c r="E226" s="3" t="str">
        <f aca="false">IFERROR(INDEX(Confirmations!$C:$C,MATCH($A226,Confirmations!$A:$A,0)),"")</f>
        <v>Northbay Pension Fund</v>
      </c>
      <c r="F226" s="14" t="n">
        <f aca="false">IFERROR(INDEX(Booking!$D:$D,MATCH($A226,Booking!$A:$A,0)),"")</f>
        <v>15000000</v>
      </c>
      <c r="G226" s="14" t="n">
        <f aca="false">IFERROR(INDEX(Confirmations!$D:$D,MATCH($A226,Confirmations!$A:$A,0)),"")</f>
        <v>15000000</v>
      </c>
      <c r="H226" s="15" t="n">
        <f aca="false">IFERROR(INDEX(Booking!$E:$E,MATCH($A226,Booking!$A:$A,0)),"")</f>
        <v>1.1438</v>
      </c>
      <c r="I226" s="15" t="n">
        <f aca="false">IFERROR(INDEX(Confirmations!$E:$E,MATCH($A226,Confirmations!$A:$A,0)),"")</f>
        <v>1.1438</v>
      </c>
      <c r="J226" s="3" t="n">
        <f aca="false">IFERROR(INDEX(Booking!$F:$F,MATCH($A226,Booking!$A:$A,0)),"")</f>
        <v>1</v>
      </c>
      <c r="K226" s="3" t="n">
        <f aca="false">IFERROR(INDEX(Confirmations!$F:$F,MATCH($A226,Confirmations!$A:$A,0)),"")</f>
        <v>1</v>
      </c>
      <c r="L226" s="3" t="str">
        <f aca="false">IF(NOT(C226),"Unconfirmed",IF(NOT(B226),"Unbooked",IF(D226&lt;&gt;E226,"Counterparty",IF(ABS(F226-G226)&gt;F226*Rules!$B$4/10000,"Notional",IF(H226&lt;&gt;I226,"Rate or price",IF(J226&lt;&gt;K226,"Value date","Matched"))))))</f>
        <v>Matched</v>
      </c>
      <c r="M226" s="3" t="n">
        <f aca="false">IF(B226,INDEX(Booking!$G:$G,MATCH(A226,Booking!$A:$A,0)),INDEX(Confirmations!$G:$G,MATCH(A226,Confirmations!$A:$A,0)))</f>
        <v>2</v>
      </c>
      <c r="N226" s="13" t="b">
        <f aca="false">AND(L226&lt;&gt;"Matched",M226&gt;Rules!$B$5)</f>
        <v>0</v>
      </c>
      <c r="O226" s="3" t="str">
        <f aca="false">INDEX(Rules!$B$8:$B$14,MATCH(L226,Rules!$A$8:$A$14,0))</f>
        <v>None</v>
      </c>
    </row>
    <row r="227" customFormat="false" ht="15" hidden="false" customHeight="false" outlineLevel="0" collapsed="false">
      <c r="A227" s="3" t="s">
        <v>268</v>
      </c>
      <c r="B227" s="13" t="b">
        <f aca="false">ISNUMBER(MATCH(A227,Booking!$A:$A,0))</f>
        <v>1</v>
      </c>
      <c r="C227" s="13" t="b">
        <f aca="false">ISNUMBER(MATCH(A227,Confirmations!$A:$A,0))</f>
        <v>1</v>
      </c>
      <c r="D227" s="3" t="str">
        <f aca="false">IFERROR(INDEX(Booking!$C:$C,MATCH($A227,Booking!$A:$A,0)),"")</f>
        <v>Aldridge Capital</v>
      </c>
      <c r="E227" s="3" t="str">
        <f aca="false">IFERROR(INDEX(Confirmations!$C:$C,MATCH($A227,Confirmations!$A:$A,0)),"")</f>
        <v>Aldridge Capital</v>
      </c>
      <c r="F227" s="14" t="n">
        <f aca="false">IFERROR(INDEX(Booking!$D:$D,MATCH($A227,Booking!$A:$A,0)),"")</f>
        <v>31000000</v>
      </c>
      <c r="G227" s="14" t="n">
        <f aca="false">IFERROR(INDEX(Confirmations!$D:$D,MATCH($A227,Confirmations!$A:$A,0)),"")</f>
        <v>31000000</v>
      </c>
      <c r="H227" s="15" t="n">
        <f aca="false">IFERROR(INDEX(Booking!$E:$E,MATCH($A227,Booking!$A:$A,0)),"")</f>
        <v>2.058</v>
      </c>
      <c r="I227" s="15" t="n">
        <f aca="false">IFERROR(INDEX(Confirmations!$E:$E,MATCH($A227,Confirmations!$A:$A,0)),"")</f>
        <v>2.058</v>
      </c>
      <c r="J227" s="3" t="n">
        <f aca="false">IFERROR(INDEX(Booking!$F:$F,MATCH($A227,Booking!$A:$A,0)),"")</f>
        <v>2</v>
      </c>
      <c r="K227" s="3" t="n">
        <f aca="false">IFERROR(INDEX(Confirmations!$F:$F,MATCH($A227,Confirmations!$A:$A,0)),"")</f>
        <v>2</v>
      </c>
      <c r="L227" s="3" t="str">
        <f aca="false">IF(NOT(C227),"Unconfirmed",IF(NOT(B227),"Unbooked",IF(D227&lt;&gt;E227,"Counterparty",IF(ABS(F227-G227)&gt;F227*Rules!$B$4/10000,"Notional",IF(H227&lt;&gt;I227,"Rate or price",IF(J227&lt;&gt;K227,"Value date","Matched"))))))</f>
        <v>Matched</v>
      </c>
      <c r="M227" s="3" t="n">
        <f aca="false">IF(B227,INDEX(Booking!$G:$G,MATCH(A227,Booking!$A:$A,0)),INDEX(Confirmations!$G:$G,MATCH(A227,Confirmations!$A:$A,0)))</f>
        <v>1</v>
      </c>
      <c r="N227" s="13" t="b">
        <f aca="false">AND(L227&lt;&gt;"Matched",M227&gt;Rules!$B$5)</f>
        <v>0</v>
      </c>
      <c r="O227" s="3" t="str">
        <f aca="false">INDEX(Rules!$B$8:$B$14,MATCH(L227,Rules!$A$8:$A$14,0))</f>
        <v>None</v>
      </c>
    </row>
    <row r="228" customFormat="false" ht="15" hidden="false" customHeight="false" outlineLevel="0" collapsed="false">
      <c r="A228" s="3" t="s">
        <v>269</v>
      </c>
      <c r="B228" s="13" t="b">
        <f aca="false">ISNUMBER(MATCH(A228,Booking!$A:$A,0))</f>
        <v>1</v>
      </c>
      <c r="C228" s="13" t="b">
        <f aca="false">ISNUMBER(MATCH(A228,Confirmations!$A:$A,0))</f>
        <v>1</v>
      </c>
      <c r="D228" s="3" t="str">
        <f aca="false">IFERROR(INDEX(Booking!$C:$C,MATCH($A228,Booking!$A:$A,0)),"")</f>
        <v>Solent Asset Management</v>
      </c>
      <c r="E228" s="3" t="str">
        <f aca="false">IFERROR(INDEX(Confirmations!$C:$C,MATCH($A228,Confirmations!$A:$A,0)),"")</f>
        <v>Solent Asset Management</v>
      </c>
      <c r="F228" s="14" t="n">
        <f aca="false">IFERROR(INDEX(Booking!$D:$D,MATCH($A228,Booking!$A:$A,0)),"")</f>
        <v>7000000</v>
      </c>
      <c r="G228" s="14" t="n">
        <f aca="false">IFERROR(INDEX(Confirmations!$D:$D,MATCH($A228,Confirmations!$A:$A,0)),"")</f>
        <v>7000000</v>
      </c>
      <c r="H228" s="15" t="n">
        <f aca="false">IFERROR(INDEX(Booking!$E:$E,MATCH($A228,Booking!$A:$A,0)),"")</f>
        <v>3.5959</v>
      </c>
      <c r="I228" s="15" t="n">
        <f aca="false">IFERROR(INDEX(Confirmations!$E:$E,MATCH($A228,Confirmations!$A:$A,0)),"")</f>
        <v>3.5959</v>
      </c>
      <c r="J228" s="3" t="n">
        <f aca="false">IFERROR(INDEX(Booking!$F:$F,MATCH($A228,Booking!$A:$A,0)),"")</f>
        <v>3</v>
      </c>
      <c r="K228" s="3" t="n">
        <f aca="false">IFERROR(INDEX(Confirmations!$F:$F,MATCH($A228,Confirmations!$A:$A,0)),"")</f>
        <v>3</v>
      </c>
      <c r="L228" s="3" t="str">
        <f aca="false">IF(NOT(C228),"Unconfirmed",IF(NOT(B228),"Unbooked",IF(D228&lt;&gt;E228,"Counterparty",IF(ABS(F228-G228)&gt;F228*Rules!$B$4/10000,"Notional",IF(H228&lt;&gt;I228,"Rate or price",IF(J228&lt;&gt;K228,"Value date","Matched"))))))</f>
        <v>Matched</v>
      </c>
      <c r="M228" s="3" t="n">
        <f aca="false">IF(B228,INDEX(Booking!$G:$G,MATCH(A228,Booking!$A:$A,0)),INDEX(Confirmations!$G:$G,MATCH(A228,Confirmations!$A:$A,0)))</f>
        <v>1</v>
      </c>
      <c r="N228" s="13" t="b">
        <f aca="false">AND(L228&lt;&gt;"Matched",M228&gt;Rules!$B$5)</f>
        <v>0</v>
      </c>
      <c r="O228" s="3" t="str">
        <f aca="false">INDEX(Rules!$B$8:$B$14,MATCH(L228,Rules!$A$8:$A$14,0))</f>
        <v>None</v>
      </c>
    </row>
    <row r="229" customFormat="false" ht="15" hidden="false" customHeight="false" outlineLevel="0" collapsed="false">
      <c r="A229" s="3" t="s">
        <v>270</v>
      </c>
      <c r="B229" s="13" t="b">
        <f aca="false">ISNUMBER(MATCH(A229,Booking!$A:$A,0))</f>
        <v>1</v>
      </c>
      <c r="C229" s="13" t="b">
        <f aca="false">ISNUMBER(MATCH(A229,Confirmations!$A:$A,0))</f>
        <v>1</v>
      </c>
      <c r="D229" s="3" t="str">
        <f aca="false">IFERROR(INDEX(Booking!$C:$C,MATCH($A229,Booking!$A:$A,0)),"")</f>
        <v>Kestrel Macro Fund</v>
      </c>
      <c r="E229" s="3" t="str">
        <f aca="false">IFERROR(INDEX(Confirmations!$C:$C,MATCH($A229,Confirmations!$A:$A,0)),"")</f>
        <v>Kestrel Macro Fund</v>
      </c>
      <c r="F229" s="14" t="n">
        <f aca="false">IFERROR(INDEX(Booking!$D:$D,MATCH($A229,Booking!$A:$A,0)),"")</f>
        <v>26000000</v>
      </c>
      <c r="G229" s="14" t="n">
        <f aca="false">IFERROR(INDEX(Confirmations!$D:$D,MATCH($A229,Confirmations!$A:$A,0)),"")</f>
        <v>26000000</v>
      </c>
      <c r="H229" s="15" t="n">
        <f aca="false">IFERROR(INDEX(Booking!$E:$E,MATCH($A229,Booking!$A:$A,0)),"")</f>
        <v>4.026</v>
      </c>
      <c r="I229" s="15" t="n">
        <f aca="false">IFERROR(INDEX(Confirmations!$E:$E,MATCH($A229,Confirmations!$A:$A,0)),"")</f>
        <v>4.026</v>
      </c>
      <c r="J229" s="3" t="n">
        <f aca="false">IFERROR(INDEX(Booking!$F:$F,MATCH($A229,Booking!$A:$A,0)),"")</f>
        <v>1</v>
      </c>
      <c r="K229" s="3" t="n">
        <f aca="false">IFERROR(INDEX(Confirmations!$F:$F,MATCH($A229,Confirmations!$A:$A,0)),"")</f>
        <v>1</v>
      </c>
      <c r="L229" s="3" t="str">
        <f aca="false">IF(NOT(C229),"Unconfirmed",IF(NOT(B229),"Unbooked",IF(D229&lt;&gt;E229,"Counterparty",IF(ABS(F229-G229)&gt;F229*Rules!$B$4/10000,"Notional",IF(H229&lt;&gt;I229,"Rate or price",IF(J229&lt;&gt;K229,"Value date","Matched"))))))</f>
        <v>Matched</v>
      </c>
      <c r="M229" s="3" t="n">
        <f aca="false">IF(B229,INDEX(Booking!$G:$G,MATCH(A229,Booking!$A:$A,0)),INDEX(Confirmations!$G:$G,MATCH(A229,Confirmations!$A:$A,0)))</f>
        <v>0</v>
      </c>
      <c r="N229" s="13" t="b">
        <f aca="false">AND(L229&lt;&gt;"Matched",M229&gt;Rules!$B$5)</f>
        <v>0</v>
      </c>
      <c r="O229" s="3" t="str">
        <f aca="false">INDEX(Rules!$B$8:$B$14,MATCH(L229,Rules!$A$8:$A$14,0))</f>
        <v>None</v>
      </c>
    </row>
    <row r="230" customFormat="false" ht="15" hidden="false" customHeight="false" outlineLevel="0" collapsed="false">
      <c r="A230" s="3" t="s">
        <v>271</v>
      </c>
      <c r="B230" s="13" t="b">
        <f aca="false">ISNUMBER(MATCH(A230,Booking!$A:$A,0))</f>
        <v>1</v>
      </c>
      <c r="C230" s="13" t="b">
        <f aca="false">ISNUMBER(MATCH(A230,Confirmations!$A:$A,0))</f>
        <v>1</v>
      </c>
      <c r="D230" s="3" t="str">
        <f aca="false">IFERROR(INDEX(Booking!$C:$C,MATCH($A230,Booking!$A:$A,0)),"")</f>
        <v>Meridian Bank</v>
      </c>
      <c r="E230" s="3" t="str">
        <f aca="false">IFERROR(INDEX(Confirmations!$C:$C,MATCH($A230,Confirmations!$A:$A,0)),"")</f>
        <v>Meridian Bank</v>
      </c>
      <c r="F230" s="14" t="n">
        <f aca="false">IFERROR(INDEX(Booking!$D:$D,MATCH($A230,Booking!$A:$A,0)),"")</f>
        <v>42000000</v>
      </c>
      <c r="G230" s="14" t="n">
        <f aca="false">IFERROR(INDEX(Confirmations!$D:$D,MATCH($A230,Confirmations!$A:$A,0)),"")</f>
        <v>42000000</v>
      </c>
      <c r="H230" s="15" t="n">
        <f aca="false">IFERROR(INDEX(Booking!$E:$E,MATCH($A230,Booking!$A:$A,0)),"")</f>
        <v>1.6498</v>
      </c>
      <c r="I230" s="15" t="n">
        <f aca="false">IFERROR(INDEX(Confirmations!$E:$E,MATCH($A230,Confirmations!$A:$A,0)),"")</f>
        <v>1.6498</v>
      </c>
      <c r="J230" s="3" t="n">
        <f aca="false">IFERROR(INDEX(Booking!$F:$F,MATCH($A230,Booking!$A:$A,0)),"")</f>
        <v>2</v>
      </c>
      <c r="K230" s="3" t="n">
        <f aca="false">IFERROR(INDEX(Confirmations!$F:$F,MATCH($A230,Confirmations!$A:$A,0)),"")</f>
        <v>2</v>
      </c>
      <c r="L230" s="3" t="str">
        <f aca="false">IF(NOT(C230),"Unconfirmed",IF(NOT(B230),"Unbooked",IF(D230&lt;&gt;E230,"Counterparty",IF(ABS(F230-G230)&gt;F230*Rules!$B$4/10000,"Notional",IF(H230&lt;&gt;I230,"Rate or price",IF(J230&lt;&gt;K230,"Value date","Matched"))))))</f>
        <v>Matched</v>
      </c>
      <c r="M230" s="3" t="n">
        <f aca="false">IF(B230,INDEX(Booking!$G:$G,MATCH(A230,Booking!$A:$A,0)),INDEX(Confirmations!$G:$G,MATCH(A230,Confirmations!$A:$A,0)))</f>
        <v>6</v>
      </c>
      <c r="N230" s="13" t="b">
        <f aca="false">AND(L230&lt;&gt;"Matched",M230&gt;Rules!$B$5)</f>
        <v>0</v>
      </c>
      <c r="O230" s="3" t="str">
        <f aca="false">INDEX(Rules!$B$8:$B$14,MATCH(L230,Rules!$A$8:$A$14,0))</f>
        <v>None</v>
      </c>
    </row>
    <row r="231" customFormat="false" ht="15" hidden="false" customHeight="false" outlineLevel="0" collapsed="false">
      <c r="A231" s="3" t="s">
        <v>272</v>
      </c>
      <c r="B231" s="13" t="b">
        <f aca="false">ISNUMBER(MATCH(A231,Booking!$A:$A,0))</f>
        <v>1</v>
      </c>
      <c r="C231" s="13" t="b">
        <f aca="false">ISNUMBER(MATCH(A231,Confirmations!$A:$A,0))</f>
        <v>1</v>
      </c>
      <c r="D231" s="3" t="str">
        <f aca="false">IFERROR(INDEX(Booking!$C:$C,MATCH($A231,Booking!$A:$A,0)),"")</f>
        <v>Tarn Energy Trading</v>
      </c>
      <c r="E231" s="3" t="str">
        <f aca="false">IFERROR(INDEX(Confirmations!$C:$C,MATCH($A231,Confirmations!$A:$A,0)),"")</f>
        <v>Tarn Energy Trading</v>
      </c>
      <c r="F231" s="14" t="n">
        <f aca="false">IFERROR(INDEX(Booking!$D:$D,MATCH($A231,Booking!$A:$A,0)),"")</f>
        <v>6000000</v>
      </c>
      <c r="G231" s="14" t="n">
        <f aca="false">IFERROR(INDEX(Confirmations!$D:$D,MATCH($A231,Confirmations!$A:$A,0)),"")</f>
        <v>6000000</v>
      </c>
      <c r="H231" s="15" t="n">
        <f aca="false">IFERROR(INDEX(Booking!$E:$E,MATCH($A231,Booking!$A:$A,0)),"")</f>
        <v>3.3471</v>
      </c>
      <c r="I231" s="15" t="n">
        <f aca="false">IFERROR(INDEX(Confirmations!$E:$E,MATCH($A231,Confirmations!$A:$A,0)),"")</f>
        <v>3.3471</v>
      </c>
      <c r="J231" s="3" t="n">
        <f aca="false">IFERROR(INDEX(Booking!$F:$F,MATCH($A231,Booking!$A:$A,0)),"")</f>
        <v>1</v>
      </c>
      <c r="K231" s="3" t="n">
        <f aca="false">IFERROR(INDEX(Confirmations!$F:$F,MATCH($A231,Confirmations!$A:$A,0)),"")</f>
        <v>1</v>
      </c>
      <c r="L231" s="3" t="str">
        <f aca="false">IF(NOT(C231),"Unconfirmed",IF(NOT(B231),"Unbooked",IF(D231&lt;&gt;E231,"Counterparty",IF(ABS(F231-G231)&gt;F231*Rules!$B$4/10000,"Notional",IF(H231&lt;&gt;I231,"Rate or price",IF(J231&lt;&gt;K231,"Value date","Matched"))))))</f>
        <v>Matched</v>
      </c>
      <c r="M231" s="3" t="n">
        <f aca="false">IF(B231,INDEX(Booking!$G:$G,MATCH(A231,Booking!$A:$A,0)),INDEX(Confirmations!$G:$G,MATCH(A231,Confirmations!$A:$A,0)))</f>
        <v>5</v>
      </c>
      <c r="N231" s="13" t="b">
        <f aca="false">AND(L231&lt;&gt;"Matched",M231&gt;Rules!$B$5)</f>
        <v>0</v>
      </c>
      <c r="O231" s="3" t="str">
        <f aca="false">INDEX(Rules!$B$8:$B$14,MATCH(L231,Rules!$A$8:$A$14,0))</f>
        <v>None</v>
      </c>
    </row>
    <row r="232" customFormat="false" ht="15" hidden="false" customHeight="false" outlineLevel="0" collapsed="false">
      <c r="A232" s="3" t="s">
        <v>273</v>
      </c>
      <c r="B232" s="13" t="b">
        <f aca="false">ISNUMBER(MATCH(A232,Booking!$A:$A,0))</f>
        <v>1</v>
      </c>
      <c r="C232" s="13" t="b">
        <f aca="false">ISNUMBER(MATCH(A232,Confirmations!$A:$A,0))</f>
        <v>1</v>
      </c>
      <c r="D232" s="3" t="str">
        <f aca="false">IFERROR(INDEX(Booking!$C:$C,MATCH($A232,Booking!$A:$A,0)),"")</f>
        <v>Vale Corporate Treasury</v>
      </c>
      <c r="E232" s="3" t="str">
        <f aca="false">IFERROR(INDEX(Confirmations!$C:$C,MATCH($A232,Confirmations!$A:$A,0)),"")</f>
        <v>Vale Corporate Treasury</v>
      </c>
      <c r="F232" s="14" t="n">
        <f aca="false">IFERROR(INDEX(Booking!$D:$D,MATCH($A232,Booking!$A:$A,0)),"")</f>
        <v>40000000</v>
      </c>
      <c r="G232" s="14" t="n">
        <f aca="false">IFERROR(INDEX(Confirmations!$D:$D,MATCH($A232,Confirmations!$A:$A,0)),"")</f>
        <v>40000000</v>
      </c>
      <c r="H232" s="15" t="n">
        <f aca="false">IFERROR(INDEX(Booking!$E:$E,MATCH($A232,Booking!$A:$A,0)),"")</f>
        <v>4.9098</v>
      </c>
      <c r="I232" s="15" t="n">
        <f aca="false">IFERROR(INDEX(Confirmations!$E:$E,MATCH($A232,Confirmations!$A:$A,0)),"")</f>
        <v>4.9098</v>
      </c>
      <c r="J232" s="3" t="n">
        <f aca="false">IFERROR(INDEX(Booking!$F:$F,MATCH($A232,Booking!$A:$A,0)),"")</f>
        <v>2</v>
      </c>
      <c r="K232" s="3" t="n">
        <f aca="false">IFERROR(INDEX(Confirmations!$F:$F,MATCH($A232,Confirmations!$A:$A,0)),"")</f>
        <v>2</v>
      </c>
      <c r="L232" s="3" t="str">
        <f aca="false">IF(NOT(C232),"Unconfirmed",IF(NOT(B232),"Unbooked",IF(D232&lt;&gt;E232,"Counterparty",IF(ABS(F232-G232)&gt;F232*Rules!$B$4/10000,"Notional",IF(H232&lt;&gt;I232,"Rate or price",IF(J232&lt;&gt;K232,"Value date","Matched"))))))</f>
        <v>Matched</v>
      </c>
      <c r="M232" s="3" t="n">
        <f aca="false">IF(B232,INDEX(Booking!$G:$G,MATCH(A232,Booking!$A:$A,0)),INDEX(Confirmations!$G:$G,MATCH(A232,Confirmations!$A:$A,0)))</f>
        <v>1</v>
      </c>
      <c r="N232" s="13" t="b">
        <f aca="false">AND(L232&lt;&gt;"Matched",M232&gt;Rules!$B$5)</f>
        <v>0</v>
      </c>
      <c r="O232" s="3" t="str">
        <f aca="false">INDEX(Rules!$B$8:$B$14,MATCH(L232,Rules!$A$8:$A$14,0))</f>
        <v>None</v>
      </c>
    </row>
    <row r="233" customFormat="false" ht="15" hidden="false" customHeight="false" outlineLevel="0" collapsed="false">
      <c r="A233" s="3" t="s">
        <v>274</v>
      </c>
      <c r="B233" s="13" t="b">
        <f aca="false">ISNUMBER(MATCH(A233,Booking!$A:$A,0))</f>
        <v>1</v>
      </c>
      <c r="C233" s="13" t="b">
        <f aca="false">ISNUMBER(MATCH(A233,Confirmations!$A:$A,0))</f>
        <v>1</v>
      </c>
      <c r="D233" s="3" t="str">
        <f aca="false">IFERROR(INDEX(Booking!$C:$C,MATCH($A233,Booking!$A:$A,0)),"")</f>
        <v>Vale Corporate Treasury</v>
      </c>
      <c r="E233" s="3" t="str">
        <f aca="false">IFERROR(INDEX(Confirmations!$C:$C,MATCH($A233,Confirmations!$A:$A,0)),"")</f>
        <v>Vale Corporate Treasury</v>
      </c>
      <c r="F233" s="14" t="n">
        <f aca="false">IFERROR(INDEX(Booking!$D:$D,MATCH($A233,Booking!$A:$A,0)),"")</f>
        <v>2000000</v>
      </c>
      <c r="G233" s="14" t="n">
        <f aca="false">IFERROR(INDEX(Confirmations!$D:$D,MATCH($A233,Confirmations!$A:$A,0)),"")</f>
        <v>2000000</v>
      </c>
      <c r="H233" s="15" t="n">
        <f aca="false">IFERROR(INDEX(Booking!$E:$E,MATCH($A233,Booking!$A:$A,0)),"")</f>
        <v>5.8108</v>
      </c>
      <c r="I233" s="15" t="n">
        <f aca="false">IFERROR(INDEX(Confirmations!$E:$E,MATCH($A233,Confirmations!$A:$A,0)),"")</f>
        <v>5.8108</v>
      </c>
      <c r="J233" s="3" t="n">
        <f aca="false">IFERROR(INDEX(Booking!$F:$F,MATCH($A233,Booking!$A:$A,0)),"")</f>
        <v>1</v>
      </c>
      <c r="K233" s="3" t="n">
        <f aca="false">IFERROR(INDEX(Confirmations!$F:$F,MATCH($A233,Confirmations!$A:$A,0)),"")</f>
        <v>1</v>
      </c>
      <c r="L233" s="3" t="str">
        <f aca="false">IF(NOT(C233),"Unconfirmed",IF(NOT(B233),"Unbooked",IF(D233&lt;&gt;E233,"Counterparty",IF(ABS(F233-G233)&gt;F233*Rules!$B$4/10000,"Notional",IF(H233&lt;&gt;I233,"Rate or price",IF(J233&lt;&gt;K233,"Value date","Matched"))))))</f>
        <v>Matched</v>
      </c>
      <c r="M233" s="3" t="n">
        <f aca="false">IF(B233,INDEX(Booking!$G:$G,MATCH(A233,Booking!$A:$A,0)),INDEX(Confirmations!$G:$G,MATCH(A233,Confirmations!$A:$A,0)))</f>
        <v>3</v>
      </c>
      <c r="N233" s="13" t="b">
        <f aca="false">AND(L233&lt;&gt;"Matched",M233&gt;Rules!$B$5)</f>
        <v>0</v>
      </c>
      <c r="O233" s="3" t="str">
        <f aca="false">INDEX(Rules!$B$8:$B$14,MATCH(L233,Rules!$A$8:$A$14,0))</f>
        <v>None</v>
      </c>
    </row>
    <row r="234" customFormat="false" ht="15" hidden="false" customHeight="false" outlineLevel="0" collapsed="false">
      <c r="A234" s="3" t="s">
        <v>275</v>
      </c>
      <c r="B234" s="13" t="b">
        <f aca="false">ISNUMBER(MATCH(A234,Booking!$A:$A,0))</f>
        <v>1</v>
      </c>
      <c r="C234" s="13" t="b">
        <f aca="false">ISNUMBER(MATCH(A234,Confirmations!$A:$A,0))</f>
        <v>1</v>
      </c>
      <c r="D234" s="3" t="str">
        <f aca="false">IFERROR(INDEX(Booking!$C:$C,MATCH($A234,Booking!$A:$A,0)),"")</f>
        <v>Meridian Bank</v>
      </c>
      <c r="E234" s="3" t="str">
        <f aca="false">IFERROR(INDEX(Confirmations!$C:$C,MATCH($A234,Confirmations!$A:$A,0)),"")</f>
        <v>Meridian Bank</v>
      </c>
      <c r="F234" s="14" t="n">
        <f aca="false">IFERROR(INDEX(Booking!$D:$D,MATCH($A234,Booking!$A:$A,0)),"")</f>
        <v>1000000</v>
      </c>
      <c r="G234" s="14" t="n">
        <f aca="false">IFERROR(INDEX(Confirmations!$D:$D,MATCH($A234,Confirmations!$A:$A,0)),"")</f>
        <v>1000000</v>
      </c>
      <c r="H234" s="15" t="n">
        <f aca="false">IFERROR(INDEX(Booking!$E:$E,MATCH($A234,Booking!$A:$A,0)),"")</f>
        <v>3.0772</v>
      </c>
      <c r="I234" s="15" t="n">
        <f aca="false">IFERROR(INDEX(Confirmations!$E:$E,MATCH($A234,Confirmations!$A:$A,0)),"")</f>
        <v>3.0772</v>
      </c>
      <c r="J234" s="3" t="n">
        <f aca="false">IFERROR(INDEX(Booking!$F:$F,MATCH($A234,Booking!$A:$A,0)),"")</f>
        <v>3</v>
      </c>
      <c r="K234" s="3" t="n">
        <f aca="false">IFERROR(INDEX(Confirmations!$F:$F,MATCH($A234,Confirmations!$A:$A,0)),"")</f>
        <v>3</v>
      </c>
      <c r="L234" s="3" t="str">
        <f aca="false">IF(NOT(C234),"Unconfirmed",IF(NOT(B234),"Unbooked",IF(D234&lt;&gt;E234,"Counterparty",IF(ABS(F234-G234)&gt;F234*Rules!$B$4/10000,"Notional",IF(H234&lt;&gt;I234,"Rate or price",IF(J234&lt;&gt;K234,"Value date","Matched"))))))</f>
        <v>Matched</v>
      </c>
      <c r="M234" s="3" t="n">
        <f aca="false">IF(B234,INDEX(Booking!$G:$G,MATCH(A234,Booking!$A:$A,0)),INDEX(Confirmations!$G:$G,MATCH(A234,Confirmations!$A:$A,0)))</f>
        <v>0</v>
      </c>
      <c r="N234" s="13" t="b">
        <f aca="false">AND(L234&lt;&gt;"Matched",M234&gt;Rules!$B$5)</f>
        <v>0</v>
      </c>
      <c r="O234" s="3" t="str">
        <f aca="false">INDEX(Rules!$B$8:$B$14,MATCH(L234,Rules!$A$8:$A$14,0))</f>
        <v>None</v>
      </c>
    </row>
    <row r="235" customFormat="false" ht="15" hidden="false" customHeight="false" outlineLevel="0" collapsed="false">
      <c r="A235" s="3" t="s">
        <v>276</v>
      </c>
      <c r="B235" s="13" t="b">
        <f aca="false">ISNUMBER(MATCH(A235,Booking!$A:$A,0))</f>
        <v>1</v>
      </c>
      <c r="C235" s="13" t="b">
        <f aca="false">ISNUMBER(MATCH(A235,Confirmations!$A:$A,0))</f>
        <v>1</v>
      </c>
      <c r="D235" s="3" t="str">
        <f aca="false">IFERROR(INDEX(Booking!$C:$C,MATCH($A235,Booking!$A:$A,0)),"")</f>
        <v>Meridian Bank</v>
      </c>
      <c r="E235" s="3" t="str">
        <f aca="false">IFERROR(INDEX(Confirmations!$C:$C,MATCH($A235,Confirmations!$A:$A,0)),"")</f>
        <v>Meridian Bank</v>
      </c>
      <c r="F235" s="14" t="n">
        <f aca="false">IFERROR(INDEX(Booking!$D:$D,MATCH($A235,Booking!$A:$A,0)),"")</f>
        <v>17000000</v>
      </c>
      <c r="G235" s="14" t="n">
        <f aca="false">IFERROR(INDEX(Confirmations!$D:$D,MATCH($A235,Confirmations!$A:$A,0)),"")</f>
        <v>17000000</v>
      </c>
      <c r="H235" s="15" t="n">
        <f aca="false">IFERROR(INDEX(Booking!$E:$E,MATCH($A235,Booking!$A:$A,0)),"")</f>
        <v>4.079</v>
      </c>
      <c r="I235" s="15" t="n">
        <f aca="false">IFERROR(INDEX(Confirmations!$E:$E,MATCH($A235,Confirmations!$A:$A,0)),"")</f>
        <v>4.079</v>
      </c>
      <c r="J235" s="3" t="n">
        <f aca="false">IFERROR(INDEX(Booking!$F:$F,MATCH($A235,Booking!$A:$A,0)),"")</f>
        <v>2</v>
      </c>
      <c r="K235" s="3" t="n">
        <f aca="false">IFERROR(INDEX(Confirmations!$F:$F,MATCH($A235,Confirmations!$A:$A,0)),"")</f>
        <v>2</v>
      </c>
      <c r="L235" s="3" t="str">
        <f aca="false">IF(NOT(C235),"Unconfirmed",IF(NOT(B235),"Unbooked",IF(D235&lt;&gt;E235,"Counterparty",IF(ABS(F235-G235)&gt;F235*Rules!$B$4/10000,"Notional",IF(H235&lt;&gt;I235,"Rate or price",IF(J235&lt;&gt;K235,"Value date","Matched"))))))</f>
        <v>Matched</v>
      </c>
      <c r="M235" s="3" t="n">
        <f aca="false">IF(B235,INDEX(Booking!$G:$G,MATCH(A235,Booking!$A:$A,0)),INDEX(Confirmations!$G:$G,MATCH(A235,Confirmations!$A:$A,0)))</f>
        <v>3</v>
      </c>
      <c r="N235" s="13" t="b">
        <f aca="false">AND(L235&lt;&gt;"Matched",M235&gt;Rules!$B$5)</f>
        <v>0</v>
      </c>
      <c r="O235" s="3" t="str">
        <f aca="false">INDEX(Rules!$B$8:$B$14,MATCH(L235,Rules!$A$8:$A$14,0))</f>
        <v>None</v>
      </c>
    </row>
    <row r="236" customFormat="false" ht="15" hidden="false" customHeight="false" outlineLevel="0" collapsed="false">
      <c r="A236" s="3" t="s">
        <v>277</v>
      </c>
      <c r="B236" s="13" t="b">
        <f aca="false">ISNUMBER(MATCH(A236,Booking!$A:$A,0))</f>
        <v>1</v>
      </c>
      <c r="C236" s="13" t="b">
        <f aca="false">ISNUMBER(MATCH(A236,Confirmations!$A:$A,0))</f>
        <v>1</v>
      </c>
      <c r="D236" s="3" t="str">
        <f aca="false">IFERROR(INDEX(Booking!$C:$C,MATCH($A236,Booking!$A:$A,0)),"")</f>
        <v>Kestrel Macro Fund</v>
      </c>
      <c r="E236" s="3" t="str">
        <f aca="false">IFERROR(INDEX(Confirmations!$C:$C,MATCH($A236,Confirmations!$A:$A,0)),"")</f>
        <v>Kestrel Macro Fund</v>
      </c>
      <c r="F236" s="14" t="n">
        <f aca="false">IFERROR(INDEX(Booking!$D:$D,MATCH($A236,Booking!$A:$A,0)),"")</f>
        <v>16000000</v>
      </c>
      <c r="G236" s="14" t="n">
        <f aca="false">IFERROR(INDEX(Confirmations!$D:$D,MATCH($A236,Confirmations!$A:$A,0)),"")</f>
        <v>16000000</v>
      </c>
      <c r="H236" s="15" t="n">
        <f aca="false">IFERROR(INDEX(Booking!$E:$E,MATCH($A236,Booking!$A:$A,0)),"")</f>
        <v>6.6584</v>
      </c>
      <c r="I236" s="15" t="n">
        <f aca="false">IFERROR(INDEX(Confirmations!$E:$E,MATCH($A236,Confirmations!$A:$A,0)),"")</f>
        <v>6.6584</v>
      </c>
      <c r="J236" s="3" t="n">
        <f aca="false">IFERROR(INDEX(Booking!$F:$F,MATCH($A236,Booking!$A:$A,0)),"")</f>
        <v>1</v>
      </c>
      <c r="K236" s="3" t="n">
        <f aca="false">IFERROR(INDEX(Confirmations!$F:$F,MATCH($A236,Confirmations!$A:$A,0)),"")</f>
        <v>1</v>
      </c>
      <c r="L236" s="3" t="str">
        <f aca="false">IF(NOT(C236),"Unconfirmed",IF(NOT(B236),"Unbooked",IF(D236&lt;&gt;E236,"Counterparty",IF(ABS(F236-G236)&gt;F236*Rules!$B$4/10000,"Notional",IF(H236&lt;&gt;I236,"Rate or price",IF(J236&lt;&gt;K236,"Value date","Matched"))))))</f>
        <v>Matched</v>
      </c>
      <c r="M236" s="3" t="n">
        <f aca="false">IF(B236,INDEX(Booking!$G:$G,MATCH(A236,Booking!$A:$A,0)),INDEX(Confirmations!$G:$G,MATCH(A236,Confirmations!$A:$A,0)))</f>
        <v>2</v>
      </c>
      <c r="N236" s="13" t="b">
        <f aca="false">AND(L236&lt;&gt;"Matched",M236&gt;Rules!$B$5)</f>
        <v>0</v>
      </c>
      <c r="O236" s="3" t="str">
        <f aca="false">INDEX(Rules!$B$8:$B$14,MATCH(L236,Rules!$A$8:$A$14,0))</f>
        <v>None</v>
      </c>
    </row>
    <row r="237" customFormat="false" ht="15" hidden="false" customHeight="false" outlineLevel="0" collapsed="false">
      <c r="A237" s="3" t="s">
        <v>278</v>
      </c>
      <c r="B237" s="13" t="b">
        <f aca="false">ISNUMBER(MATCH(A237,Booking!$A:$A,0))</f>
        <v>1</v>
      </c>
      <c r="C237" s="13" t="b">
        <f aca="false">ISNUMBER(MATCH(A237,Confirmations!$A:$A,0))</f>
        <v>1</v>
      </c>
      <c r="D237" s="3" t="str">
        <f aca="false">IFERROR(INDEX(Booking!$C:$C,MATCH($A237,Booking!$A:$A,0)),"")</f>
        <v>Harbour Insurance</v>
      </c>
      <c r="E237" s="3" t="str">
        <f aca="false">IFERROR(INDEX(Confirmations!$C:$C,MATCH($A237,Confirmations!$A:$A,0)),"")</f>
        <v>Harbour Insurance</v>
      </c>
      <c r="F237" s="14" t="n">
        <f aca="false">IFERROR(INDEX(Booking!$D:$D,MATCH($A237,Booking!$A:$A,0)),"")</f>
        <v>36000000</v>
      </c>
      <c r="G237" s="14" t="n">
        <f aca="false">IFERROR(INDEX(Confirmations!$D:$D,MATCH($A237,Confirmations!$A:$A,0)),"")</f>
        <v>36000000</v>
      </c>
      <c r="H237" s="15" t="n">
        <f aca="false">IFERROR(INDEX(Booking!$E:$E,MATCH($A237,Booking!$A:$A,0)),"")</f>
        <v>4.9571</v>
      </c>
      <c r="I237" s="15" t="n">
        <f aca="false">IFERROR(INDEX(Confirmations!$E:$E,MATCH($A237,Confirmations!$A:$A,0)),"")</f>
        <v>4.9571</v>
      </c>
      <c r="J237" s="3" t="n">
        <f aca="false">IFERROR(INDEX(Booking!$F:$F,MATCH($A237,Booking!$A:$A,0)),"")</f>
        <v>2</v>
      </c>
      <c r="K237" s="3" t="n">
        <f aca="false">IFERROR(INDEX(Confirmations!$F:$F,MATCH($A237,Confirmations!$A:$A,0)),"")</f>
        <v>2</v>
      </c>
      <c r="L237" s="3" t="str">
        <f aca="false">IF(NOT(C237),"Unconfirmed",IF(NOT(B237),"Unbooked",IF(D237&lt;&gt;E237,"Counterparty",IF(ABS(F237-G237)&gt;F237*Rules!$B$4/10000,"Notional",IF(H237&lt;&gt;I237,"Rate or price",IF(J237&lt;&gt;K237,"Value date","Matched"))))))</f>
        <v>Matched</v>
      </c>
      <c r="M237" s="3" t="n">
        <f aca="false">IF(B237,INDEX(Booking!$G:$G,MATCH(A237,Booking!$A:$A,0)),INDEX(Confirmations!$G:$G,MATCH(A237,Confirmations!$A:$A,0)))</f>
        <v>2</v>
      </c>
      <c r="N237" s="13" t="b">
        <f aca="false">AND(L237&lt;&gt;"Matched",M237&gt;Rules!$B$5)</f>
        <v>0</v>
      </c>
      <c r="O237" s="3" t="str">
        <f aca="false">INDEX(Rules!$B$8:$B$14,MATCH(L237,Rules!$A$8:$A$14,0))</f>
        <v>None</v>
      </c>
    </row>
    <row r="238" customFormat="false" ht="15" hidden="false" customHeight="false" outlineLevel="0" collapsed="false">
      <c r="A238" s="3" t="s">
        <v>279</v>
      </c>
      <c r="B238" s="13" t="b">
        <f aca="false">ISNUMBER(MATCH(A238,Booking!$A:$A,0))</f>
        <v>1</v>
      </c>
      <c r="C238" s="13" t="b">
        <f aca="false">ISNUMBER(MATCH(A238,Confirmations!$A:$A,0))</f>
        <v>1</v>
      </c>
      <c r="D238" s="3" t="str">
        <f aca="false">IFERROR(INDEX(Booking!$C:$C,MATCH($A238,Booking!$A:$A,0)),"")</f>
        <v>Kestrel Macro Fund</v>
      </c>
      <c r="E238" s="3" t="str">
        <f aca="false">IFERROR(INDEX(Confirmations!$C:$C,MATCH($A238,Confirmations!$A:$A,0)),"")</f>
        <v>Kestrel Macro Fund</v>
      </c>
      <c r="F238" s="14" t="n">
        <f aca="false">IFERROR(INDEX(Booking!$D:$D,MATCH($A238,Booking!$A:$A,0)),"")</f>
        <v>6000000</v>
      </c>
      <c r="G238" s="14" t="n">
        <f aca="false">IFERROR(INDEX(Confirmations!$D:$D,MATCH($A238,Confirmations!$A:$A,0)),"")</f>
        <v>6000000</v>
      </c>
      <c r="H238" s="15" t="n">
        <f aca="false">IFERROR(INDEX(Booking!$E:$E,MATCH($A238,Booking!$A:$A,0)),"")</f>
        <v>5.1489</v>
      </c>
      <c r="I238" s="15" t="n">
        <f aca="false">IFERROR(INDEX(Confirmations!$E:$E,MATCH($A238,Confirmations!$A:$A,0)),"")</f>
        <v>5.1489</v>
      </c>
      <c r="J238" s="3" t="n">
        <f aca="false">IFERROR(INDEX(Booking!$F:$F,MATCH($A238,Booking!$A:$A,0)),"")</f>
        <v>2</v>
      </c>
      <c r="K238" s="3" t="n">
        <f aca="false">IFERROR(INDEX(Confirmations!$F:$F,MATCH($A238,Confirmations!$A:$A,0)),"")</f>
        <v>2</v>
      </c>
      <c r="L238" s="3" t="str">
        <f aca="false">IF(NOT(C238),"Unconfirmed",IF(NOT(B238),"Unbooked",IF(D238&lt;&gt;E238,"Counterparty",IF(ABS(F238-G238)&gt;F238*Rules!$B$4/10000,"Notional",IF(H238&lt;&gt;I238,"Rate or price",IF(J238&lt;&gt;K238,"Value date","Matched"))))))</f>
        <v>Matched</v>
      </c>
      <c r="M238" s="3" t="n">
        <f aca="false">IF(B238,INDEX(Booking!$G:$G,MATCH(A238,Booking!$A:$A,0)),INDEX(Confirmations!$G:$G,MATCH(A238,Confirmations!$A:$A,0)))</f>
        <v>3</v>
      </c>
      <c r="N238" s="13" t="b">
        <f aca="false">AND(L238&lt;&gt;"Matched",M238&gt;Rules!$B$5)</f>
        <v>0</v>
      </c>
      <c r="O238" s="3" t="str">
        <f aca="false">INDEX(Rules!$B$8:$B$14,MATCH(L238,Rules!$A$8:$A$14,0))</f>
        <v>None</v>
      </c>
    </row>
    <row r="239" customFormat="false" ht="15" hidden="false" customHeight="false" outlineLevel="0" collapsed="false">
      <c r="A239" s="3" t="s">
        <v>280</v>
      </c>
      <c r="B239" s="13" t="b">
        <f aca="false">ISNUMBER(MATCH(A239,Booking!$A:$A,0))</f>
        <v>1</v>
      </c>
      <c r="C239" s="13" t="b">
        <f aca="false">ISNUMBER(MATCH(A239,Confirmations!$A:$A,0))</f>
        <v>1</v>
      </c>
      <c r="D239" s="3" t="str">
        <f aca="false">IFERROR(INDEX(Booking!$C:$C,MATCH($A239,Booking!$A:$A,0)),"")</f>
        <v>Tarn Energy Trading</v>
      </c>
      <c r="E239" s="3" t="str">
        <f aca="false">IFERROR(INDEX(Confirmations!$C:$C,MATCH($A239,Confirmations!$A:$A,0)),"")</f>
        <v>Tarn Energy Trading</v>
      </c>
      <c r="F239" s="14" t="n">
        <f aca="false">IFERROR(INDEX(Booking!$D:$D,MATCH($A239,Booking!$A:$A,0)),"")</f>
        <v>34000000</v>
      </c>
      <c r="G239" s="14" t="n">
        <f aca="false">IFERROR(INDEX(Confirmations!$D:$D,MATCH($A239,Confirmations!$A:$A,0)),"")</f>
        <v>34000000</v>
      </c>
      <c r="H239" s="15" t="n">
        <f aca="false">IFERROR(INDEX(Booking!$E:$E,MATCH($A239,Booking!$A:$A,0)),"")</f>
        <v>1.1361</v>
      </c>
      <c r="I239" s="15" t="n">
        <f aca="false">IFERROR(INDEX(Confirmations!$E:$E,MATCH($A239,Confirmations!$A:$A,0)),"")</f>
        <v>1.1361</v>
      </c>
      <c r="J239" s="3" t="n">
        <f aca="false">IFERROR(INDEX(Booking!$F:$F,MATCH($A239,Booking!$A:$A,0)),"")</f>
        <v>3</v>
      </c>
      <c r="K239" s="3" t="n">
        <f aca="false">IFERROR(INDEX(Confirmations!$F:$F,MATCH($A239,Confirmations!$A:$A,0)),"")</f>
        <v>3</v>
      </c>
      <c r="L239" s="3" t="str">
        <f aca="false">IF(NOT(C239),"Unconfirmed",IF(NOT(B239),"Unbooked",IF(D239&lt;&gt;E239,"Counterparty",IF(ABS(F239-G239)&gt;F239*Rules!$B$4/10000,"Notional",IF(H239&lt;&gt;I239,"Rate or price",IF(J239&lt;&gt;K239,"Value date","Matched"))))))</f>
        <v>Matched</v>
      </c>
      <c r="M239" s="3" t="n">
        <f aca="false">IF(B239,INDEX(Booking!$G:$G,MATCH(A239,Booking!$A:$A,0)),INDEX(Confirmations!$G:$G,MATCH(A239,Confirmations!$A:$A,0)))</f>
        <v>0</v>
      </c>
      <c r="N239" s="13" t="b">
        <f aca="false">AND(L239&lt;&gt;"Matched",M239&gt;Rules!$B$5)</f>
        <v>0</v>
      </c>
      <c r="O239" s="3" t="str">
        <f aca="false">INDEX(Rules!$B$8:$B$14,MATCH(L239,Rules!$A$8:$A$14,0))</f>
        <v>None</v>
      </c>
    </row>
    <row r="240" customFormat="false" ht="15" hidden="false" customHeight="false" outlineLevel="0" collapsed="false">
      <c r="A240" s="3" t="s">
        <v>281</v>
      </c>
      <c r="B240" s="13" t="b">
        <f aca="false">ISNUMBER(MATCH(A240,Booking!$A:$A,0))</f>
        <v>1</v>
      </c>
      <c r="C240" s="13" t="b">
        <f aca="false">ISNUMBER(MATCH(A240,Confirmations!$A:$A,0))</f>
        <v>1</v>
      </c>
      <c r="D240" s="3" t="str">
        <f aca="false">IFERROR(INDEX(Booking!$C:$C,MATCH($A240,Booking!$A:$A,0)),"")</f>
        <v>Tarn Energy Trading</v>
      </c>
      <c r="E240" s="3" t="str">
        <f aca="false">IFERROR(INDEX(Confirmations!$C:$C,MATCH($A240,Confirmations!$A:$A,0)),"")</f>
        <v>Tarn Energy Trading</v>
      </c>
      <c r="F240" s="14" t="n">
        <f aca="false">IFERROR(INDEX(Booking!$D:$D,MATCH($A240,Booking!$A:$A,0)),"")</f>
        <v>8000000</v>
      </c>
      <c r="G240" s="14" t="n">
        <f aca="false">IFERROR(INDEX(Confirmations!$D:$D,MATCH($A240,Confirmations!$A:$A,0)),"")</f>
        <v>8000000</v>
      </c>
      <c r="H240" s="15" t="n">
        <f aca="false">IFERROR(INDEX(Booking!$E:$E,MATCH($A240,Booking!$A:$A,0)),"")</f>
        <v>6.6507</v>
      </c>
      <c r="I240" s="15" t="n">
        <f aca="false">IFERROR(INDEX(Confirmations!$E:$E,MATCH($A240,Confirmations!$A:$A,0)),"")</f>
        <v>6.6507</v>
      </c>
      <c r="J240" s="3" t="n">
        <f aca="false">IFERROR(INDEX(Booking!$F:$F,MATCH($A240,Booking!$A:$A,0)),"")</f>
        <v>1</v>
      </c>
      <c r="K240" s="3" t="n">
        <f aca="false">IFERROR(INDEX(Confirmations!$F:$F,MATCH($A240,Confirmations!$A:$A,0)),"")</f>
        <v>1</v>
      </c>
      <c r="L240" s="3" t="str">
        <f aca="false">IF(NOT(C240),"Unconfirmed",IF(NOT(B240),"Unbooked",IF(D240&lt;&gt;E240,"Counterparty",IF(ABS(F240-G240)&gt;F240*Rules!$B$4/10000,"Notional",IF(H240&lt;&gt;I240,"Rate or price",IF(J240&lt;&gt;K240,"Value date","Matched"))))))</f>
        <v>Matched</v>
      </c>
      <c r="M240" s="3" t="n">
        <f aca="false">IF(B240,INDEX(Booking!$G:$G,MATCH(A240,Booking!$A:$A,0)),INDEX(Confirmations!$G:$G,MATCH(A240,Confirmations!$A:$A,0)))</f>
        <v>1</v>
      </c>
      <c r="N240" s="13" t="b">
        <f aca="false">AND(L240&lt;&gt;"Matched",M240&gt;Rules!$B$5)</f>
        <v>0</v>
      </c>
      <c r="O240" s="3" t="str">
        <f aca="false">INDEX(Rules!$B$8:$B$14,MATCH(L240,Rules!$A$8:$A$14,0))</f>
        <v>None</v>
      </c>
    </row>
    <row r="241" customFormat="false" ht="15" hidden="false" customHeight="false" outlineLevel="0" collapsed="false">
      <c r="A241" s="3" t="s">
        <v>282</v>
      </c>
      <c r="B241" s="13" t="b">
        <f aca="false">ISNUMBER(MATCH(A241,Booking!$A:$A,0))</f>
        <v>1</v>
      </c>
      <c r="C241" s="13" t="b">
        <f aca="false">ISNUMBER(MATCH(A241,Confirmations!$A:$A,0))</f>
        <v>1</v>
      </c>
      <c r="D241" s="3" t="str">
        <f aca="false">IFERROR(INDEX(Booking!$C:$C,MATCH($A241,Booking!$A:$A,0)),"")</f>
        <v>Tarn Energy Trading</v>
      </c>
      <c r="E241" s="3" t="str">
        <f aca="false">IFERROR(INDEX(Confirmations!$C:$C,MATCH($A241,Confirmations!$A:$A,0)),"")</f>
        <v>Tarn Energy Trading</v>
      </c>
      <c r="F241" s="14" t="n">
        <f aca="false">IFERROR(INDEX(Booking!$D:$D,MATCH($A241,Booking!$A:$A,0)),"")</f>
        <v>34000000</v>
      </c>
      <c r="G241" s="14" t="n">
        <f aca="false">IFERROR(INDEX(Confirmations!$D:$D,MATCH($A241,Confirmations!$A:$A,0)),"")</f>
        <v>34000000</v>
      </c>
      <c r="H241" s="15" t="n">
        <f aca="false">IFERROR(INDEX(Booking!$E:$E,MATCH($A241,Booking!$A:$A,0)),"")</f>
        <v>3.683</v>
      </c>
      <c r="I241" s="15" t="n">
        <f aca="false">IFERROR(INDEX(Confirmations!$E:$E,MATCH($A241,Confirmations!$A:$A,0)),"")</f>
        <v>3.683</v>
      </c>
      <c r="J241" s="3" t="n">
        <f aca="false">IFERROR(INDEX(Booking!$F:$F,MATCH($A241,Booking!$A:$A,0)),"")</f>
        <v>3</v>
      </c>
      <c r="K241" s="3" t="n">
        <f aca="false">IFERROR(INDEX(Confirmations!$F:$F,MATCH($A241,Confirmations!$A:$A,0)),"")</f>
        <v>3</v>
      </c>
      <c r="L241" s="3" t="str">
        <f aca="false">IF(NOT(C241),"Unconfirmed",IF(NOT(B241),"Unbooked",IF(D241&lt;&gt;E241,"Counterparty",IF(ABS(F241-G241)&gt;F241*Rules!$B$4/10000,"Notional",IF(H241&lt;&gt;I241,"Rate or price",IF(J241&lt;&gt;K241,"Value date","Matched"))))))</f>
        <v>Matched</v>
      </c>
      <c r="M241" s="3" t="n">
        <f aca="false">IF(B241,INDEX(Booking!$G:$G,MATCH(A241,Booking!$A:$A,0)),INDEX(Confirmations!$G:$G,MATCH(A241,Confirmations!$A:$A,0)))</f>
        <v>1</v>
      </c>
      <c r="N241" s="13" t="b">
        <f aca="false">AND(L241&lt;&gt;"Matched",M241&gt;Rules!$B$5)</f>
        <v>0</v>
      </c>
      <c r="O241" s="3" t="str">
        <f aca="false">INDEX(Rules!$B$8:$B$14,MATCH(L241,Rules!$A$8:$A$14,0))</f>
        <v>None</v>
      </c>
    </row>
  </sheetData>
  <conditionalFormatting sqref="L2:L241">
    <cfRule type="expression" priority="2" aboveAverage="0" equalAverage="0" bottom="0" percent="0" rank="0" text="" dxfId="0">
      <formula>L2&lt;&gt;"Matched"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2026-09-29T10:40:21Z</dcterms:created>
  <dc:creator>openpyxl</dc:creator>
  <dc:description/>
  <dc:language>en-US</dc:language>
  <cp:lastModifiedBy/>
  <dcterms:modified xsi:type="dcterms:W3CDTF">2026-09-29T10:40:22Z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
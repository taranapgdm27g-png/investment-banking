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moves" sheetId="1" state="visible" r:id="rId3"/>
    <sheet name="Desks" sheetId="2" state="visible" r:id="rId4"/>
    <sheet name="Attribu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<sst xmlns="http://schemas.openxmlformats.org/spreadsheetml/2006/main" count="63" uniqueCount="55">
  <si>
    <t xml:space="preserve">Desk P&amp;L Attribution &amp; Commentary</t>
  </si>
  <si>
    <t xml:space="preserve">Synthetic desks. Blue cells are inputs; actual P&amp;L comes from the valuation system.</t>
  </si>
  <si>
    <t xml:space="preserve">Rates move (bp)</t>
  </si>
  <si>
    <t xml:space="preserve">USD move (%)</t>
  </si>
  <si>
    <t xml:space="preserve">Equities move (%)</t>
  </si>
  <si>
    <t xml:space="preserve">Implied volatility move (vol points)</t>
  </si>
  <si>
    <t xml:space="preserve">Commodities move (%)</t>
  </si>
  <si>
    <t xml:space="preserve">Unexplained tolerance ($)</t>
  </si>
  <si>
    <t xml:space="preserve">Tolerance as % of actual P&amp;L</t>
  </si>
  <si>
    <t xml:space="preserve">A desk is flagged when |unexplained| exceeds the larger of the two tolerances.</t>
  </si>
  <si>
    <t xml:space="preserve">Sensitivities and actual P&amp;L by desk</t>
  </si>
  <si>
    <t xml:space="preserve">Sensitivities from yesterday's close. Rates PV01 is $ per +1 bp; deltas are $ per +1%; gamma $ per (1%)^2; vega $ per vol point.</t>
  </si>
  <si>
    <t xml:space="preserve">Input ($)</t>
  </si>
  <si>
    <t xml:space="preserve">Rates</t>
  </si>
  <si>
    <t xml:space="preserve">FX</t>
  </si>
  <si>
    <t xml:space="preserve">Equity derivatives</t>
  </si>
  <si>
    <t xml:space="preserve">Commodities</t>
  </si>
  <si>
    <t xml:space="preserve">PV01 (per +1 bp)</t>
  </si>
  <si>
    <t xml:space="preserve">FX delta (per +1%)</t>
  </si>
  <si>
    <t xml:space="preserve">Equity delta (per +1%)</t>
  </si>
  <si>
    <t xml:space="preserve">Equity gamma (per 1%^2)</t>
  </si>
  <si>
    <t xml:space="preserve">Vega (per vol point)</t>
  </si>
  <si>
    <t xml:space="preserve">Commodity delta (per +1%)</t>
  </si>
  <si>
    <t xml:space="preserve">Carry and time decay</t>
  </si>
  <si>
    <t xml:space="preserve">New trades</t>
  </si>
  <si>
    <t xml:space="preserve">Fees</t>
  </si>
  <si>
    <t xml:space="preserve">Actual P&amp;L (valuation system)</t>
  </si>
  <si>
    <t xml:space="preserve">P&amp;L attribution and commentary</t>
  </si>
  <si>
    <t xml:space="preserve">Explained = sensitivities × moves + carry + new trades + fees. Unexplained = actual − explained.</t>
  </si>
  <si>
    <t xml:space="preserve">Component ($)</t>
  </si>
  <si>
    <t xml:space="preserve">Total</t>
  </si>
  <si>
    <t xml:space="preserve">Commentary phrase</t>
  </si>
  <si>
    <t xml:space="preserve">Rates move on PV01</t>
  </si>
  <si>
    <t xml:space="preserve">the rates move on PV01</t>
  </si>
  <si>
    <t xml:space="preserve">FX delta</t>
  </si>
  <si>
    <t xml:space="preserve">Delta</t>
  </si>
  <si>
    <t xml:space="preserve">equity delta</t>
  </si>
  <si>
    <t xml:space="preserve">Gamma</t>
  </si>
  <si>
    <t xml:space="preserve">gamma</t>
  </si>
  <si>
    <t xml:space="preserve">Vega</t>
  </si>
  <si>
    <t xml:space="preserve">vega</t>
  </si>
  <si>
    <t xml:space="preserve">Commodity delta</t>
  </si>
  <si>
    <t xml:space="preserve">commodity delta</t>
  </si>
  <si>
    <t xml:space="preserve">carry and time decay</t>
  </si>
  <si>
    <t xml:space="preserve">new trades</t>
  </si>
  <si>
    <t xml:space="preserve">fees</t>
  </si>
  <si>
    <t xml:space="preserve">Explained</t>
  </si>
  <si>
    <t xml:space="preserve">Actual</t>
  </si>
  <si>
    <t xml:space="preserve">Unexplained</t>
  </si>
  <si>
    <t xml:space="preserve">Tolerance</t>
  </si>
  <si>
    <t xml:space="preserve">Flag</t>
  </si>
  <si>
    <t xml:space="preserve">Explained share</t>
  </si>
  <si>
    <t xml:space="preserve">Largest driver (helper)</t>
  </si>
  <si>
    <t xml:space="preserve">Absolute values used to find each desk's largest driver</t>
  </si>
  <si>
    <t xml:space="preserve">Commentary for the front office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</si>
</sst>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"/>
    <numFmt numFmtId="167" formatCode="0.0%"/>
    <numFmt numFmtId="168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216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1216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12169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4122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12169"/>
      <rgbColor rgb="FF339966"/>
      <rgbColor rgb="FF003300"/>
      <rgbColor rgb="FF333300"/>
      <rgbColor rgb="FFC412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-6</v>
      </c>
    </row>
    <row r="5" customFormat="false" ht="15" hidden="false" customHeight="false" outlineLevel="0" collapsed="false">
      <c r="A5" s="3" t="s">
        <v>3</v>
      </c>
      <c r="B5" s="4" t="n">
        <v>0.4</v>
      </c>
    </row>
    <row r="6" customFormat="false" ht="15" hidden="false" customHeight="false" outlineLevel="0" collapsed="false">
      <c r="A6" s="3" t="s">
        <v>4</v>
      </c>
      <c r="B6" s="4" t="n">
        <v>-1.2</v>
      </c>
    </row>
    <row r="7" customFormat="false" ht="15" hidden="false" customHeight="false" outlineLevel="0" collapsed="false">
      <c r="A7" s="3" t="s">
        <v>5</v>
      </c>
      <c r="B7" s="4" t="n">
        <v>1.5</v>
      </c>
    </row>
    <row r="8" customFormat="false" ht="15" hidden="false" customHeight="false" outlineLevel="0" collapsed="false">
      <c r="A8" s="3" t="s">
        <v>6</v>
      </c>
      <c r="B8" s="4" t="n">
        <v>2.1</v>
      </c>
    </row>
    <row r="9" customFormat="false" ht="15" hidden="false" customHeight="false" outlineLevel="0" collapsed="false">
      <c r="A9" s="3" t="s">
        <v>7</v>
      </c>
      <c r="B9" s="5" t="n">
        <v>50000</v>
      </c>
    </row>
    <row r="10" customFormat="false" ht="15" hidden="false" customHeight="false" outlineLevel="0" collapsed="false">
      <c r="A10" s="3" t="s">
        <v>8</v>
      </c>
      <c r="B10" s="6" t="n">
        <v>0.1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35.05" hidden="false" customHeight="false" outlineLevel="0" collapsed="false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</row>
    <row r="5" customFormat="false" ht="15" hidden="false" customHeight="false" outlineLevel="0" collapsed="false">
      <c r="A5" s="3" t="s">
        <v>17</v>
      </c>
      <c r="B5" s="8" t="n">
        <v>-95000</v>
      </c>
      <c r="C5" s="8" t="n">
        <v>0</v>
      </c>
      <c r="D5" s="8" t="n">
        <v>0</v>
      </c>
      <c r="E5" s="8" t="n">
        <v>0</v>
      </c>
    </row>
    <row r="6" customFormat="false" ht="15" hidden="false" customHeight="false" outlineLevel="0" collapsed="false">
      <c r="A6" s="3" t="s">
        <v>18</v>
      </c>
      <c r="B6" s="8" t="n">
        <v>0</v>
      </c>
      <c r="C6" s="8" t="n">
        <v>180000</v>
      </c>
      <c r="D6" s="8" t="n">
        <v>0</v>
      </c>
      <c r="E6" s="8" t="n">
        <v>0</v>
      </c>
    </row>
    <row r="7" customFormat="false" ht="15" hidden="false" customHeight="false" outlineLevel="0" collapsed="false">
      <c r="A7" s="3" t="s">
        <v>19</v>
      </c>
      <c r="B7" s="8" t="n">
        <v>0</v>
      </c>
      <c r="C7" s="8" t="n">
        <v>0</v>
      </c>
      <c r="D7" s="8" t="n">
        <v>250000</v>
      </c>
      <c r="E7" s="8" t="n">
        <v>0</v>
      </c>
    </row>
    <row r="8" customFormat="false" ht="15" hidden="false" customHeight="false" outlineLevel="0" collapsed="false">
      <c r="A8" s="3" t="s">
        <v>20</v>
      </c>
      <c r="B8" s="8" t="n">
        <v>0</v>
      </c>
      <c r="C8" s="8" t="n">
        <v>0</v>
      </c>
      <c r="D8" s="8" t="n">
        <v>40000</v>
      </c>
      <c r="E8" s="8" t="n">
        <v>0</v>
      </c>
    </row>
    <row r="9" customFormat="false" ht="15" hidden="false" customHeight="false" outlineLevel="0" collapsed="false">
      <c r="A9" s="3" t="s">
        <v>21</v>
      </c>
      <c r="B9" s="8" t="n">
        <v>0</v>
      </c>
      <c r="C9" s="8" t="n">
        <v>0</v>
      </c>
      <c r="D9" s="8" t="n">
        <v>75000</v>
      </c>
      <c r="E9" s="8" t="n">
        <v>0</v>
      </c>
    </row>
    <row r="10" customFormat="false" ht="15" hidden="false" customHeight="false" outlineLevel="0" collapsed="false">
      <c r="A10" s="3" t="s">
        <v>22</v>
      </c>
      <c r="B10" s="8" t="n">
        <v>0</v>
      </c>
      <c r="C10" s="8" t="n">
        <v>0</v>
      </c>
      <c r="D10" s="8" t="n">
        <v>0</v>
      </c>
      <c r="E10" s="8" t="n">
        <v>-140000</v>
      </c>
    </row>
    <row r="11" customFormat="false" ht="15" hidden="false" customHeight="false" outlineLevel="0" collapsed="false">
      <c r="A11" s="3" t="s">
        <v>23</v>
      </c>
      <c r="B11" s="8" t="n">
        <v>40000</v>
      </c>
      <c r="C11" s="8" t="n">
        <v>-10000</v>
      </c>
      <c r="D11" s="8" t="n">
        <v>-55000</v>
      </c>
      <c r="E11" s="8" t="n">
        <v>0</v>
      </c>
    </row>
    <row r="12" customFormat="false" ht="15" hidden="false" customHeight="false" outlineLevel="0" collapsed="false">
      <c r="A12" s="3" t="s">
        <v>24</v>
      </c>
      <c r="B12" s="8" t="n">
        <v>120000</v>
      </c>
      <c r="C12" s="8" t="n">
        <v>60000</v>
      </c>
      <c r="D12" s="8" t="n">
        <v>35000</v>
      </c>
      <c r="E12" s="8" t="n">
        <v>20000</v>
      </c>
    </row>
    <row r="13" customFormat="false" ht="15" hidden="false" customHeight="false" outlineLevel="0" collapsed="false">
      <c r="A13" s="3" t="s">
        <v>25</v>
      </c>
      <c r="B13" s="8" t="n">
        <v>15000</v>
      </c>
      <c r="C13" s="8" t="n">
        <v>0</v>
      </c>
      <c r="D13" s="8" t="n">
        <v>0</v>
      </c>
      <c r="E13" s="8" t="n">
        <v>0</v>
      </c>
    </row>
    <row r="14" customFormat="false" ht="15" hidden="false" customHeight="false" outlineLevel="0" collapsed="false">
      <c r="A14" s="9" t="s">
        <v>26</v>
      </c>
      <c r="B14" s="10" t="n">
        <v>757000</v>
      </c>
      <c r="C14" s="10" t="n">
        <v>118000</v>
      </c>
      <c r="D14" s="10" t="n">
        <v>-169700</v>
      </c>
      <c r="E14" s="10" t="n">
        <v>-280000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7" t="s">
        <v>29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30</v>
      </c>
      <c r="H4" s="2" t="s">
        <v>31</v>
      </c>
    </row>
    <row r="5" customFormat="false" ht="15" hidden="false" customHeight="false" outlineLevel="0" collapsed="false">
      <c r="A5" s="3" t="s">
        <v>32</v>
      </c>
      <c r="B5" s="11" t="n">
        <f aca="false">Desks!B5*'Market moves'!$B$4</f>
        <v>570000</v>
      </c>
      <c r="C5" s="11" t="n">
        <f aca="false">Desks!C5*'Market moves'!$B$4</f>
        <v>-0</v>
      </c>
      <c r="D5" s="11" t="n">
        <f aca="false">Desks!D5*'Market moves'!$B$4</f>
        <v>-0</v>
      </c>
      <c r="E5" s="11" t="n">
        <f aca="false">Desks!E5*'Market moves'!$B$4</f>
        <v>-0</v>
      </c>
      <c r="F5" s="12" t="n">
        <f aca="false">SUM(B5:E5)</f>
        <v>570000</v>
      </c>
      <c r="H5" s="2" t="s">
        <v>33</v>
      </c>
    </row>
    <row r="6" customFormat="false" ht="15" hidden="false" customHeight="false" outlineLevel="0" collapsed="false">
      <c r="A6" s="3" t="s">
        <v>34</v>
      </c>
      <c r="B6" s="11" t="n">
        <f aca="false">Desks!B6*'Market moves'!$B$5</f>
        <v>0</v>
      </c>
      <c r="C6" s="11" t="n">
        <f aca="false">Desks!C6*'Market moves'!$B$5</f>
        <v>72000</v>
      </c>
      <c r="D6" s="11" t="n">
        <f aca="false">Desks!D6*'Market moves'!$B$5</f>
        <v>0</v>
      </c>
      <c r="E6" s="11" t="n">
        <f aca="false">Desks!E6*'Market moves'!$B$5</f>
        <v>0</v>
      </c>
      <c r="F6" s="12" t="n">
        <f aca="false">SUM(B6:E6)</f>
        <v>72000</v>
      </c>
      <c r="H6" s="2" t="s">
        <v>34</v>
      </c>
    </row>
    <row r="7" customFormat="false" ht="15" hidden="false" customHeight="false" outlineLevel="0" collapsed="false">
      <c r="A7" s="3" t="s">
        <v>35</v>
      </c>
      <c r="B7" s="11" t="n">
        <f aca="false">Desks!B7*'Market moves'!$B$6</f>
        <v>-0</v>
      </c>
      <c r="C7" s="11" t="n">
        <f aca="false">Desks!C7*'Market moves'!$B$6</f>
        <v>-0</v>
      </c>
      <c r="D7" s="11" t="n">
        <f aca="false">Desks!D7*'Market moves'!$B$6</f>
        <v>-300000</v>
      </c>
      <c r="E7" s="11" t="n">
        <f aca="false">Desks!E7*'Market moves'!$B$6</f>
        <v>-0</v>
      </c>
      <c r="F7" s="12" t="n">
        <f aca="false">SUM(B7:E7)</f>
        <v>-300000</v>
      </c>
      <c r="H7" s="2" t="s">
        <v>36</v>
      </c>
    </row>
    <row r="8" customFormat="false" ht="15" hidden="false" customHeight="false" outlineLevel="0" collapsed="false">
      <c r="A8" s="3" t="s">
        <v>37</v>
      </c>
      <c r="B8" s="11" t="n">
        <f aca="false">0.5*Desks!B8*'Market moves'!$B$6^2</f>
        <v>0</v>
      </c>
      <c r="C8" s="11" t="n">
        <f aca="false">0.5*Desks!C8*'Market moves'!$B$6^2</f>
        <v>0</v>
      </c>
      <c r="D8" s="11" t="n">
        <f aca="false">0.5*Desks!D8*'Market moves'!$B$6^2</f>
        <v>28800</v>
      </c>
      <c r="E8" s="11" t="n">
        <f aca="false">0.5*Desks!E8*'Market moves'!$B$6^2</f>
        <v>0</v>
      </c>
      <c r="F8" s="12" t="n">
        <f aca="false">SUM(B8:E8)</f>
        <v>28800</v>
      </c>
      <c r="H8" s="2" t="s">
        <v>38</v>
      </c>
    </row>
    <row r="9" customFormat="false" ht="15" hidden="false" customHeight="false" outlineLevel="0" collapsed="false">
      <c r="A9" s="3" t="s">
        <v>39</v>
      </c>
      <c r="B9" s="11" t="n">
        <f aca="false">Desks!B9*'Market moves'!$B$7</f>
        <v>0</v>
      </c>
      <c r="C9" s="11" t="n">
        <f aca="false">Desks!C9*'Market moves'!$B$7</f>
        <v>0</v>
      </c>
      <c r="D9" s="11" t="n">
        <f aca="false">Desks!D9*'Market moves'!$B$7</f>
        <v>112500</v>
      </c>
      <c r="E9" s="11" t="n">
        <f aca="false">Desks!E9*'Market moves'!$B$7</f>
        <v>0</v>
      </c>
      <c r="F9" s="12" t="n">
        <f aca="false">SUM(B9:E9)</f>
        <v>112500</v>
      </c>
      <c r="H9" s="2" t="s">
        <v>40</v>
      </c>
    </row>
    <row r="10" customFormat="false" ht="15" hidden="false" customHeight="false" outlineLevel="0" collapsed="false">
      <c r="A10" s="3" t="s">
        <v>41</v>
      </c>
      <c r="B10" s="11" t="n">
        <f aca="false">Desks!B10*'Market moves'!$B$8</f>
        <v>0</v>
      </c>
      <c r="C10" s="11" t="n">
        <f aca="false">Desks!C10*'Market moves'!$B$8</f>
        <v>0</v>
      </c>
      <c r="D10" s="11" t="n">
        <f aca="false">Desks!D10*'Market moves'!$B$8</f>
        <v>0</v>
      </c>
      <c r="E10" s="11" t="n">
        <f aca="false">Desks!E10*'Market moves'!$B$8</f>
        <v>-294000</v>
      </c>
      <c r="F10" s="12" t="n">
        <f aca="false">SUM(B10:E10)</f>
        <v>-294000</v>
      </c>
      <c r="H10" s="2" t="s">
        <v>42</v>
      </c>
    </row>
    <row r="11" customFormat="false" ht="15" hidden="false" customHeight="false" outlineLevel="0" collapsed="false">
      <c r="A11" s="3" t="s">
        <v>23</v>
      </c>
      <c r="B11" s="11" t="n">
        <f aca="false">Desks!B11</f>
        <v>40000</v>
      </c>
      <c r="C11" s="11" t="n">
        <f aca="false">Desks!C11</f>
        <v>-10000</v>
      </c>
      <c r="D11" s="11" t="n">
        <f aca="false">Desks!D11</f>
        <v>-55000</v>
      </c>
      <c r="E11" s="11" t="n">
        <f aca="false">Desks!E11</f>
        <v>0</v>
      </c>
      <c r="F11" s="12" t="n">
        <f aca="false">SUM(B11:E11)</f>
        <v>-25000</v>
      </c>
      <c r="H11" s="2" t="s">
        <v>43</v>
      </c>
    </row>
    <row r="12" customFormat="false" ht="15" hidden="false" customHeight="false" outlineLevel="0" collapsed="false">
      <c r="A12" s="3" t="s">
        <v>24</v>
      </c>
      <c r="B12" s="11" t="n">
        <f aca="false">Desks!B12</f>
        <v>120000</v>
      </c>
      <c r="C12" s="11" t="n">
        <f aca="false">Desks!C12</f>
        <v>60000</v>
      </c>
      <c r="D12" s="11" t="n">
        <f aca="false">Desks!D12</f>
        <v>35000</v>
      </c>
      <c r="E12" s="11" t="n">
        <f aca="false">Desks!E12</f>
        <v>20000</v>
      </c>
      <c r="F12" s="12" t="n">
        <f aca="false">SUM(B12:E12)</f>
        <v>235000</v>
      </c>
      <c r="H12" s="2" t="s">
        <v>44</v>
      </c>
    </row>
    <row r="13" customFormat="false" ht="15" hidden="false" customHeight="false" outlineLevel="0" collapsed="false">
      <c r="A13" s="3" t="s">
        <v>25</v>
      </c>
      <c r="B13" s="11" t="n">
        <f aca="false">Desks!B13</f>
        <v>15000</v>
      </c>
      <c r="C13" s="11" t="n">
        <f aca="false">Desks!C13</f>
        <v>0</v>
      </c>
      <c r="D13" s="11" t="n">
        <f aca="false">Desks!D13</f>
        <v>0</v>
      </c>
      <c r="E13" s="11" t="n">
        <f aca="false">Desks!E13</f>
        <v>0</v>
      </c>
      <c r="F13" s="12" t="n">
        <f aca="false">SUM(B13:E13)</f>
        <v>15000</v>
      </c>
      <c r="H13" s="2" t="s">
        <v>45</v>
      </c>
    </row>
    <row r="14" customFormat="false" ht="15" hidden="false" customHeight="false" outlineLevel="0" collapsed="false">
      <c r="A14" s="9" t="s">
        <v>46</v>
      </c>
      <c r="B14" s="13" t="n">
        <f aca="false">SUM(B5:B13)</f>
        <v>745000</v>
      </c>
      <c r="C14" s="13" t="n">
        <f aca="false">SUM(C5:C13)</f>
        <v>122000</v>
      </c>
      <c r="D14" s="13" t="n">
        <f aca="false">SUM(D5:D13)</f>
        <v>-178700</v>
      </c>
      <c r="E14" s="13" t="n">
        <f aca="false">SUM(E5:E13)</f>
        <v>-274000</v>
      </c>
      <c r="F14" s="13" t="n">
        <f aca="false">SUM(B14:E14)</f>
        <v>414300</v>
      </c>
    </row>
    <row r="15" customFormat="false" ht="15" hidden="false" customHeight="false" outlineLevel="0" collapsed="false">
      <c r="A15" s="9" t="s">
        <v>47</v>
      </c>
      <c r="B15" s="13" t="n">
        <f aca="false">Desks!B14</f>
        <v>757000</v>
      </c>
      <c r="C15" s="13" t="n">
        <f aca="false">Desks!C14</f>
        <v>118000</v>
      </c>
      <c r="D15" s="13" t="n">
        <f aca="false">Desks!D14</f>
        <v>-169700</v>
      </c>
      <c r="E15" s="13" t="n">
        <f aca="false">Desks!E14</f>
        <v>-280000</v>
      </c>
      <c r="F15" s="13" t="n">
        <f aca="false">SUM(B15:E15)</f>
        <v>425300</v>
      </c>
    </row>
    <row r="16" customFormat="false" ht="15" hidden="false" customHeight="false" outlineLevel="0" collapsed="false">
      <c r="A16" s="9" t="s">
        <v>48</v>
      </c>
      <c r="B16" s="14" t="n">
        <f aca="false">B15-B14</f>
        <v>12000</v>
      </c>
      <c r="C16" s="14" t="n">
        <f aca="false">C15-C14</f>
        <v>-4000</v>
      </c>
      <c r="D16" s="14" t="n">
        <f aca="false">D15-D14</f>
        <v>9000</v>
      </c>
      <c r="E16" s="14" t="n">
        <f aca="false">E15-E14</f>
        <v>-6000</v>
      </c>
      <c r="F16" s="14" t="n">
        <f aca="false">SUM(B16:E16)</f>
        <v>11000</v>
      </c>
    </row>
    <row r="17" customFormat="false" ht="15" hidden="false" customHeight="false" outlineLevel="0" collapsed="false">
      <c r="A17" s="9" t="s">
        <v>49</v>
      </c>
      <c r="B17" s="14" t="n">
        <f aca="false">MAX('Market moves'!$B$9,'Market moves'!$B$10*ABS(B15))</f>
        <v>75700</v>
      </c>
      <c r="C17" s="14" t="n">
        <f aca="false">MAX('Market moves'!$B$9,'Market moves'!$B$10*ABS(C15))</f>
        <v>50000</v>
      </c>
      <c r="D17" s="14" t="n">
        <f aca="false">MAX('Market moves'!$B$9,'Market moves'!$B$10*ABS(D15))</f>
        <v>50000</v>
      </c>
      <c r="E17" s="14" t="n">
        <f aca="false">MAX('Market moves'!$B$9,'Market moves'!$B$10*ABS(E15))</f>
        <v>50000</v>
      </c>
    </row>
    <row r="18" customFormat="false" ht="15" hidden="false" customHeight="false" outlineLevel="0" collapsed="false">
      <c r="A18" s="9" t="s">
        <v>50</v>
      </c>
      <c r="B18" s="14" t="str">
        <f aca="false">IF(ABS(B16)&gt;B17,"Investigate","Within tolerance")</f>
        <v>Within tolerance</v>
      </c>
      <c r="C18" s="14" t="str">
        <f aca="false">IF(ABS(C16)&gt;C17,"Investigate","Within tolerance")</f>
        <v>Within tolerance</v>
      </c>
      <c r="D18" s="14" t="str">
        <f aca="false">IF(ABS(D16)&gt;D17,"Investigate","Within tolerance")</f>
        <v>Within tolerance</v>
      </c>
      <c r="E18" s="14" t="str">
        <f aca="false">IF(ABS(E16)&gt;E17,"Investigate","Within tolerance")</f>
        <v>Within tolerance</v>
      </c>
    </row>
    <row r="19" customFormat="false" ht="15" hidden="false" customHeight="false" outlineLevel="0" collapsed="false">
      <c r="A19" s="9" t="s">
        <v>51</v>
      </c>
      <c r="B19" s="15" t="n">
        <f aca="false">IF(B15=0,0,B14/B15)</f>
        <v>0.984147952443857</v>
      </c>
      <c r="C19" s="15" t="n">
        <f aca="false">IF(C15=0,0,C14/C15)</f>
        <v>1.03389830508475</v>
      </c>
      <c r="D19" s="15" t="n">
        <f aca="false">IF(D15=0,0,D14/D15)</f>
        <v>1.0530347672363</v>
      </c>
      <c r="E19" s="15" t="n">
        <f aca="false">IF(E15=0,0,E14/E15)</f>
        <v>0.978571428571429</v>
      </c>
      <c r="F19" s="15" t="n">
        <f aca="false">IF(F15=0,0,F14/F15)</f>
        <v>0.974135904067717</v>
      </c>
    </row>
    <row r="22" customFormat="false" ht="15" hidden="false" customHeight="false" outlineLevel="0" collapsed="false">
      <c r="A22" s="2" t="s">
        <v>52</v>
      </c>
      <c r="B22" s="0" t="str">
        <f aca="false">INDEX($A$5:$A$13,MATCH(MAX(B24:B32),B24:B32,0))</f>
        <v>Rates move on PV01</v>
      </c>
      <c r="C22" s="0" t="str">
        <f aca="false">INDEX($A$5:$A$13,MATCH(MAX(C24:C32),C24:C32,0))</f>
        <v>FX delta</v>
      </c>
      <c r="D22" s="0" t="str">
        <f aca="false">INDEX($A$5:$A$13,MATCH(MAX(D24:D32),D24:D32,0))</f>
        <v>Delta</v>
      </c>
      <c r="E22" s="0" t="str">
        <f aca="false">INDEX($A$5:$A$13,MATCH(MAX(E24:E32),E24:E32,0))</f>
        <v>Commodity delta</v>
      </c>
    </row>
    <row r="23" customFormat="false" ht="15" hidden="false" customHeight="false" outlineLevel="0" collapsed="false">
      <c r="A23" s="2" t="s">
        <v>53</v>
      </c>
    </row>
    <row r="24" customFormat="false" ht="15" hidden="false" customHeight="false" outlineLevel="0" collapsed="false">
      <c r="A24" s="2" t="str">
        <f aca="false">A5</f>
        <v>Rates move on PV01</v>
      </c>
      <c r="B24" s="12" t="n">
        <f aca="false">ABS(B5)</f>
        <v>570000</v>
      </c>
      <c r="C24" s="12" t="n">
        <f aca="false">ABS(C5)</f>
        <v>0</v>
      </c>
      <c r="D24" s="12" t="n">
        <f aca="false">ABS(D5)</f>
        <v>0</v>
      </c>
      <c r="E24" s="12" t="n">
        <f aca="false">ABS(E5)</f>
        <v>0</v>
      </c>
    </row>
    <row r="25" customFormat="false" ht="15" hidden="false" customHeight="false" outlineLevel="0" collapsed="false">
      <c r="A25" s="2" t="str">
        <f aca="false">A6</f>
        <v>FX delta</v>
      </c>
      <c r="B25" s="12" t="n">
        <f aca="false">ABS(B6)</f>
        <v>0</v>
      </c>
      <c r="C25" s="12" t="n">
        <f aca="false">ABS(C6)</f>
        <v>72000</v>
      </c>
      <c r="D25" s="12" t="n">
        <f aca="false">ABS(D6)</f>
        <v>0</v>
      </c>
      <c r="E25" s="12" t="n">
        <f aca="false">ABS(E6)</f>
        <v>0</v>
      </c>
    </row>
    <row r="26" customFormat="false" ht="15" hidden="false" customHeight="false" outlineLevel="0" collapsed="false">
      <c r="A26" s="2" t="str">
        <f aca="false">A7</f>
        <v>Delta</v>
      </c>
      <c r="B26" s="12" t="n">
        <f aca="false">ABS(B7)</f>
        <v>0</v>
      </c>
      <c r="C26" s="12" t="n">
        <f aca="false">ABS(C7)</f>
        <v>0</v>
      </c>
      <c r="D26" s="12" t="n">
        <f aca="false">ABS(D7)</f>
        <v>300000</v>
      </c>
      <c r="E26" s="12" t="n">
        <f aca="false">ABS(E7)</f>
        <v>0</v>
      </c>
    </row>
    <row r="27" customFormat="false" ht="15" hidden="false" customHeight="false" outlineLevel="0" collapsed="false">
      <c r="A27" s="2" t="str">
        <f aca="false">A8</f>
        <v>Gamma</v>
      </c>
      <c r="B27" s="12" t="n">
        <f aca="false">ABS(B8)</f>
        <v>0</v>
      </c>
      <c r="C27" s="12" t="n">
        <f aca="false">ABS(C8)</f>
        <v>0</v>
      </c>
      <c r="D27" s="12" t="n">
        <f aca="false">ABS(D8)</f>
        <v>28800</v>
      </c>
      <c r="E27" s="12" t="n">
        <f aca="false">ABS(E8)</f>
        <v>0</v>
      </c>
    </row>
    <row r="28" customFormat="false" ht="15" hidden="false" customHeight="false" outlineLevel="0" collapsed="false">
      <c r="A28" s="2" t="str">
        <f aca="false">A9</f>
        <v>Vega</v>
      </c>
      <c r="B28" s="12" t="n">
        <f aca="false">ABS(B9)</f>
        <v>0</v>
      </c>
      <c r="C28" s="12" t="n">
        <f aca="false">ABS(C9)</f>
        <v>0</v>
      </c>
      <c r="D28" s="12" t="n">
        <f aca="false">ABS(D9)</f>
        <v>112500</v>
      </c>
      <c r="E28" s="12" t="n">
        <f aca="false">ABS(E9)</f>
        <v>0</v>
      </c>
    </row>
    <row r="29" customFormat="false" ht="15" hidden="false" customHeight="false" outlineLevel="0" collapsed="false">
      <c r="A29" s="2" t="str">
        <f aca="false">A10</f>
        <v>Commodity delta</v>
      </c>
      <c r="B29" s="12" t="n">
        <f aca="false">ABS(B10)</f>
        <v>0</v>
      </c>
      <c r="C29" s="12" t="n">
        <f aca="false">ABS(C10)</f>
        <v>0</v>
      </c>
      <c r="D29" s="12" t="n">
        <f aca="false">ABS(D10)</f>
        <v>0</v>
      </c>
      <c r="E29" s="12" t="n">
        <f aca="false">ABS(E10)</f>
        <v>294000</v>
      </c>
    </row>
    <row r="30" customFormat="false" ht="15" hidden="false" customHeight="false" outlineLevel="0" collapsed="false">
      <c r="A30" s="2" t="str">
        <f aca="false">A11</f>
        <v>Carry and time decay</v>
      </c>
      <c r="B30" s="12" t="n">
        <f aca="false">ABS(B11)</f>
        <v>40000</v>
      </c>
      <c r="C30" s="12" t="n">
        <f aca="false">ABS(C11)</f>
        <v>10000</v>
      </c>
      <c r="D30" s="12" t="n">
        <f aca="false">ABS(D11)</f>
        <v>55000</v>
      </c>
      <c r="E30" s="12" t="n">
        <f aca="false">ABS(E11)</f>
        <v>0</v>
      </c>
    </row>
    <row r="31" customFormat="false" ht="15" hidden="false" customHeight="false" outlineLevel="0" collapsed="false">
      <c r="A31" s="2" t="str">
        <f aca="false">A12</f>
        <v>New trades</v>
      </c>
      <c r="B31" s="12" t="n">
        <f aca="false">ABS(B12)</f>
        <v>120000</v>
      </c>
      <c r="C31" s="12" t="n">
        <f aca="false">ABS(C12)</f>
        <v>60000</v>
      </c>
      <c r="D31" s="12" t="n">
        <f aca="false">ABS(D12)</f>
        <v>35000</v>
      </c>
      <c r="E31" s="12" t="n">
        <f aca="false">ABS(E12)</f>
        <v>20000</v>
      </c>
    </row>
    <row r="32" customFormat="false" ht="15" hidden="false" customHeight="false" outlineLevel="0" collapsed="false">
      <c r="A32" s="2" t="str">
        <f aca="false">A13</f>
        <v>Fees</v>
      </c>
      <c r="B32" s="12" t="n">
        <f aca="false">ABS(B13)</f>
        <v>15000</v>
      </c>
      <c r="C32" s="12" t="n">
        <f aca="false">ABS(C13)</f>
        <v>0</v>
      </c>
      <c r="D32" s="12" t="n">
        <f aca="false">ABS(D13)</f>
        <v>0</v>
      </c>
      <c r="E32" s="12" t="n">
        <f aca="false">ABS(E13)</f>
        <v>0</v>
      </c>
    </row>
    <row r="35" customFormat="false" ht="15" hidden="false" customHeight="false" outlineLevel="0" collapsed="false">
      <c r="A35" s="16" t="s">
        <v>54</v>
      </c>
    </row>
    <row r="36" customFormat="false" ht="31.5" hidden="false" customHeight="true" outlineLevel="0" collapsed="false">
      <c r="A36" s="17" t="str">
        <f aca="false">"Rates "&amp;IF(B15&gt;=0,"made ","lost ")&amp;TEXT(ABS(B15),"$#,##0")&amp;", driven mainly by "&amp;INDEX($H$5:$H$13,MATCH(B22,$A$5:$A$13,0))&amp;" ("&amp;TEXT(INDEX(B5:B13,MATCH(B22,$A$5:$A$13,0)),"$#,##0;-$#,##0")&amp;"). Unexplained "&amp;TEXT(B16,"$#,##0;-$#,##0")&amp;IF(B18="Investigate",", above tolerance: check bookings, market data and amendments before sign-off.",", within tolerance.")</f>
        <v>Rates made $757,000, driven mainly by the rates move on PV01 ($570,000). Unexplained $12,000, within tolerance.</v>
      </c>
      <c r="B36" s="17"/>
      <c r="C36" s="17"/>
      <c r="D36" s="17"/>
      <c r="E36" s="17"/>
      <c r="F36" s="17"/>
    </row>
    <row r="37" customFormat="false" ht="31.5" hidden="false" customHeight="true" outlineLevel="0" collapsed="false">
      <c r="A37" s="17" t="str">
        <f aca="false">"FX "&amp;IF(C15&gt;=0,"made ","lost ")&amp;TEXT(ABS(C15),"$#,##0")&amp;", driven mainly by "&amp;INDEX($H$5:$H$13,MATCH(C22,$A$5:$A$13,0))&amp;" ("&amp;TEXT(INDEX(C5:C13,MATCH(C22,$A$5:$A$13,0)),"$#,##0;-$#,##0")&amp;"). Unexplained "&amp;TEXT(C16,"$#,##0;-$#,##0")&amp;IF(C18="Investigate",", above tolerance: check bookings, market data and amendments before sign-off.",", within tolerance.")</f>
        <v>FX made $118,000, driven mainly by FX delta ($72,000). Unexplained -$4,000, within tolerance.</v>
      </c>
      <c r="B37" s="17"/>
      <c r="C37" s="17"/>
      <c r="D37" s="17"/>
      <c r="E37" s="17"/>
      <c r="F37" s="17"/>
    </row>
    <row r="38" customFormat="false" ht="31.5" hidden="false" customHeight="true" outlineLevel="0" collapsed="false">
      <c r="A38" s="17" t="str">
        <f aca="false">"Equity derivatives "&amp;IF(D15&gt;=0,"made ","lost ")&amp;TEXT(ABS(D15),"$#,##0")&amp;", driven mainly by "&amp;INDEX($H$5:$H$13,MATCH(D22,$A$5:$A$13,0))&amp;" ("&amp;TEXT(INDEX(D5:D13,MATCH(D22,$A$5:$A$13,0)),"$#,##0;-$#,##0")&amp;"). Unexplained "&amp;TEXT(D16,"$#,##0;-$#,##0")&amp;IF(D18="Investigate",", above tolerance: check bookings, market data and amendments before sign-off.",", within tolerance.")</f>
        <v>Equity derivatives lost $169,700, driven mainly by equity delta (-$300,000). Unexplained $9,000, within tolerance.</v>
      </c>
      <c r="B38" s="17"/>
      <c r="C38" s="17"/>
      <c r="D38" s="17"/>
      <c r="E38" s="17"/>
      <c r="F38" s="17"/>
    </row>
    <row r="39" customFormat="false" ht="31.5" hidden="false" customHeight="true" outlineLevel="0" collapsed="false">
      <c r="A39" s="17" t="str">
        <f aca="false">"Commodities "&amp;IF(E15&gt;=0,"made ","lost ")&amp;TEXT(ABS(E15),"$#,##0")&amp;", driven mainly by "&amp;INDEX($H$5:$H$13,MATCH(E22,$A$5:$A$13,0))&amp;" ("&amp;TEXT(INDEX(E5:E13,MATCH(E22,$A$5:$A$13,0)),"$#,##0;-$#,##0")&amp;"). Unexplained "&amp;TEXT(E16,"$#,##0;-$#,##0")&amp;IF(E18="Investigate",", above tolerance: check bookings, market data and amendments before sign-off.",", within tolerance.")</f>
        <v>Commodities lost $280,000, driven mainly by commodity delta (-$294,000). Unexplained -$6,000, within tolerance.</v>
      </c>
      <c r="B39" s="17"/>
      <c r="C39" s="17"/>
      <c r="D39" s="17"/>
      <c r="E39" s="17"/>
      <c r="F39" s="17"/>
    </row>
  </sheetData>
  <mergeCells count="4">
    <mergeCell ref="A36:F36"/>
    <mergeCell ref="A37:F37"/>
    <mergeCell ref="A38:F38"/>
    <mergeCell ref="A39:F39"/>
  </mergeCells>
  <conditionalFormatting sqref="B18:E18">
    <cfRule type="cellIs" priority="2" operator="equal" aboveAverage="0" equalAverage="0" bottom="0" percent="0" rank="0" text="" dxfId="0">
      <formula>"Investigate"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2026-09-29T10:40:21Z</dcterms:created>
  <dc:creator>openpyxl</dc:creator>
  <dc:description/>
  <dc:language>en-US</dc:language>
  <cp:lastModifiedBy/>
  <dcterms:modified xsi:type="dcterms:W3CDTF">2026-09-29T10:40:21Z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
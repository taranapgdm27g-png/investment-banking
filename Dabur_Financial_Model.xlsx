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Balance Sheet" sheetId="4" state="visible" r:id="rId6"/>
    <sheet name="Cash Flow Statement" sheetId="5" state="visible" r:id="rId7"/>
    <sheet name="DCF Valuation" sheetId="6" state="visible" r:id="rId8"/>
    <sheet name="Relative Valuation" sheetId="7" state="visible" r:id="rId9"/>
    <sheet name="Ratios"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5" authorId="0">
      <text>
        <r>
          <rPr>
            <sz val="10"/>
            <rFont val="Arial"/>
            <family val="2"/>
          </rPr>
          <t xml:space="preserve">10-year India G-Sec yield, approx. as of mid-2026.</t>
        </r>
      </text>
    </comment>
    <comment ref="B26" authorId="0">
      <text>
        <r>
          <rPr>
            <sz val="10"/>
            <rFont val="Arial"/>
            <family val="2"/>
          </rPr>
          <t xml:space="preserve">Reflects the low-cyclicality, defensive-staples profile typical of large-cap Indian FMCG names.</t>
        </r>
      </text>
    </comment>
    <comment ref="B27" authorId="0">
      <text>
        <r>
          <rPr>
            <sz val="10"/>
            <rFont val="Arial"/>
            <family val="2"/>
          </rPr>
          <t xml:space="preserve">Damodaran India equity risk premium estimate (approximate).</t>
        </r>
      </text>
    </comment>
    <comment ref="B28" authorId="0">
      <text>
        <r>
          <rPr>
            <sz val="10"/>
            <rFont val="Arial"/>
            <family val="2"/>
          </rPr>
          <t xml:space="preserve">Consistent with Dabur's investment-grade, low-leverage credit profile.</t>
        </r>
      </text>
    </comment>
    <comment ref="B29" authorId="0">
      <text>
        <r>
          <rPr>
            <sz val="10"/>
            <rFont val="Arial"/>
            <family val="2"/>
          </rPr>
          <t xml:space="preserve">Broadly aligned with long-run India nominal GDP growth and FMCG category growth.</t>
        </r>
      </text>
    </comment>
    <comment ref="B30" authorId="0">
      <text>
        <r>
          <rPr>
            <sz val="10"/>
            <rFont val="Arial"/>
            <family val="2"/>
          </rPr>
          <t xml:space="preserve">Source: AR Performance Highlights table (FY24-25 column).</t>
        </r>
      </text>
    </comment>
    <comment ref="B31" authorId="0">
      <text>
        <r>
          <rPr>
            <sz val="10"/>
            <rFont val="Arial"/>
            <family val="2"/>
          </rPr>
          <t xml:space="preserve">Dabur share price in early October 2026 (about Rs 380), as used in the October 2026 initiation report. The earlier input of Rs 480 was the post-Q4 FY26 price from May 2026. Update to the live quote as of your submission date.</t>
        </r>
      </text>
    </comment>
    <comment ref="B32" authorId="0">
      <text>
        <r>
          <rPr>
            <sz val="10"/>
            <rFont val="Arial"/>
            <family val="2"/>
          </rPr>
          <t xml:space="preserve">Target capital structure for the WACC: debt at about 2.1% of capital, Dabur's FY26 mix (total debt Rs 1,800 Cr against equity of Rs 85,070 Cr at the May 2026 price of Rs 480). Held constant so the discount rate does not move with the share price; the DCF tests whether the price is right, so the price should not set the discount rate.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FY22-26 depreciation estimated using a rising %-of-revenue trend (Assumptions row 15) reflecting capacity expansion; FY25 consistent with disclosed Rs 636.95 Cr consolidated capex (AR pg.55).</t>
        </r>
      </text>
    </comment>
    <comment ref="B10" authorId="0">
      <text>
        <r>
          <rPr>
            <sz val="10"/>
            <rFont val="Arial"/>
            <family val="2"/>
          </rPr>
          <t xml:space="preserve">ESTIMATED opening base; grown at 8% p.a. Precise Other Income line not separately extracted for all years in this session.</t>
        </r>
      </text>
    </comment>
    <comment ref="B11" authorId="0">
      <text>
        <r>
          <rPr>
            <sz val="10"/>
            <rFont val="Arial"/>
            <family val="2"/>
          </rPr>
          <t xml:space="preserve">ESTIMATED, consistent with Dabur's low-leverage profile (Debt/Equity &lt;20% per independent balance-sheet trackers); grown at 5% p.a.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Historical estimated using forecast-period receivable/inventory day norms scaled up 15% to approximate 'other current assets' not separately itemised; forecast years computed explicitly below from Assumptions day-based drivers.</t>
        </r>
      </text>
    </comment>
    <comment ref="A11" authorId="0">
      <text>
        <r>
          <rPr>
            <sz val="10"/>
            <rFont val="Arial"/>
            <family val="2"/>
          </rPr>
          <t xml:space="preserve">FY23-25 Net Worth (Reserves+Capital) derived from AR-stated Book Value/Share x Shares Outstanding (sourced, pg.51): FY23=Rs 47.4x176.8=~8,381 Cr; FY24=Rs 50.6x177.2=~8,973 Cr; FY25=Rs 61.0x177.23=~10,801 Cr. FY22 and FY26 are ESTIMATED (FY22 backward from FY23 less FY23 retained earnings; FY26 forward from FY25 plus FY26 retained earnings).</t>
        </r>
      </text>
    </comment>
    <comment ref="A14" authorId="0">
      <text>
        <r>
          <rPr>
            <sz val="10"/>
            <rFont val="Arial"/>
            <family val="2"/>
          </rPr>
          <t xml:space="preserve">Computed as the balancing plug (Total Assets less Net Worth less Borrowings) so the Balance Sheet ties by construction. This means Total Liabilities &amp; Equity equals Total Assets by design; see the independent Check row below, which will therefore read zero — use the Cash Flow Statement's own build (not reliant on this plug) as the independent cross-check on liquidity.</t>
        </r>
      </text>
    </comment>
    <comment ref="B4" authorId="0">
      <text>
        <r>
          <rPr>
            <sz val="10"/>
            <rFont val="Arial"/>
            <family val="2"/>
          </rPr>
          <t xml:space="preserve">ESTIMATED — consistent with disclosed capex trend (FY25 consolidated capex Rs 636.95 Cr per AR pg.55) less depreciation; precise annual Balance Sheet Fixed Asset note not extracted in this session.</t>
        </r>
      </text>
    </comment>
    <comment ref="B5" authorId="0">
      <text>
        <r>
          <rPr>
            <sz val="10"/>
            <rFont val="Arial"/>
            <family val="2"/>
          </rPr>
          <t xml:space="preserve">ESTIMATED — balancing figure consistent with Dabur's disclosed strong liquidity/cash-generative profile; treated as the plug that keeps the Balance Sheet in balance given other estimated lines.</t>
        </r>
      </text>
    </comment>
    <comment ref="B10" authorId="0">
      <text>
        <r>
          <rPr>
            <sz val="10"/>
            <rFont val="Arial"/>
            <family val="2"/>
          </rPr>
          <t xml:space="preserve">Face value Re.1 shares; ~177.23 Cr shares outstanding per AR Equity Share Data table — shown here at par value.</t>
        </r>
      </text>
    </comment>
    <comment ref="B13" authorId="0">
      <text>
        <r>
          <rPr>
            <sz val="10"/>
            <rFont val="Arial"/>
            <family val="2"/>
          </rPr>
          <t xml:space="preserve">ESTIMATED — consistent with independent balance-sheet trackers showing Dabur's Debt/Equity ratio in the 15-20% range; precise annual borrowings note not extracted in this session.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Modelled as capex outflow only (~4.5-5.1% of revenue, per Assumptions); no separate M&amp;A/investment purchase line since not disclosed at that granularity in sources reviewed.</t>
        </r>
      </text>
    </comment>
  </commentList>
</comments>
</file>

<file path=xl/sharedStrings.xml><?xml version="1.0" encoding="utf-8"?>
<sst xmlns="http://schemas.openxmlformats.org/spreadsheetml/2006/main" count="243" uniqueCount="184">
  <si>
    <t xml:space="preserve">DABUR INDIA LIMITED</t>
  </si>
  <si>
    <t xml:space="preserve">Equity Research &amp; Financial Model | Sector: FMCG / Ayurvedic &amp; Natural Health Care</t>
  </si>
  <si>
    <t xml:space="preserve">NSE: DABUR | BSE: 500096 | CIN: L24230DL1975PLC007908</t>
  </si>
  <si>
    <t xml:space="preserve">Prepared for: Finance Live Project (Equity Valuation Track)</t>
  </si>
  <si>
    <t xml:space="preserve">DATA SOURCING NOTE</t>
  </si>
  <si>
    <t xml:space="preserve">All historical financial figures (FY22–FY26) are sourced directly from primary company disclosures:</t>
  </si>
  <si>
    <t xml:space="preserve">  • Dabur India Limited Integrated Annual Report 2024-25 (Chairman's Message; Performance Highlights table, pg. 50-51)</t>
  </si>
  <si>
    <t xml:space="preserve">  • Audited financial results filed with BSE/NSE under Regulation 33/47 of the SEBI Listing Regulations (Q4 FY22–Q4 FY26 press releases)</t>
  </si>
  <si>
    <t xml:space="preserve">  • Company press statements accompanying quarterly/annual board-approved results</t>
  </si>
  <si>
    <t xml:space="preserve">No figures in this model are sourced from Screener, Moneycontrol, CMIE, ACE Equity, or similar aggregators.</t>
  </si>
  <si>
    <t xml:space="preserve">Line items that are estimated rather than directly disclosed (e.g., granular Balance Sheet/Cash Flow splits not separately</t>
  </si>
  <si>
    <t xml:space="preserve">published in press releases) are explicitly labelled 'Estimated' in the Assumptions tab with the basis for the estimate.</t>
  </si>
  <si>
    <t xml:space="preserve">CONTENTS</t>
  </si>
  <si>
    <t xml:space="preserve">1. Assumptions (with source citations)</t>
  </si>
  <si>
    <t xml:space="preserve">2. Income Statement (FY22-FY26 Actual, FY27E-FY31E Forecast)</t>
  </si>
  <si>
    <t xml:space="preserve">3. Balance Sheet</t>
  </si>
  <si>
    <t xml:space="preserve">4. Cash Flow Statement</t>
  </si>
  <si>
    <t xml:space="preserve">5. DCF Valuation (FCFF, WACC build-up, Sensitivity)</t>
  </si>
  <si>
    <t xml:space="preserve">6. Relative Valuation (FMCG peer set)</t>
  </si>
  <si>
    <t xml:space="preserve">7. Ratio Analysis</t>
  </si>
  <si>
    <t xml:space="preserve">Disclaimer: Prepared solely for academic/live-project purposes. Not investment advice. The author holds no financial</t>
  </si>
  <si>
    <t xml:space="preserve">interest in the securities discussed and this report should not be relied upon for any investment decision.</t>
  </si>
  <si>
    <t xml:space="preserve">Particulars (Rs. Crore, Consolidated)</t>
  </si>
  <si>
    <t xml:space="preserve">FY22</t>
  </si>
  <si>
    <t xml:space="preserve">FY23</t>
  </si>
  <si>
    <t xml:space="preserve">FY24</t>
  </si>
  <si>
    <t xml:space="preserve">FY25</t>
  </si>
  <si>
    <t xml:space="preserve">FY26</t>
  </si>
  <si>
    <t xml:space="preserve">FY27E</t>
  </si>
  <si>
    <t xml:space="preserve">FY28E</t>
  </si>
  <si>
    <t xml:space="preserve">FY29E</t>
  </si>
  <si>
    <t xml:space="preserve">FY30E</t>
  </si>
  <si>
    <t xml:space="preserve">FY31E</t>
  </si>
  <si>
    <t xml:space="preserve">HISTORICAL ANCHORS — SOURCED (used to derive FY22-FY26 statements)</t>
  </si>
  <si>
    <t xml:space="preserve">Revenue from Operations (Rs Cr)</t>
  </si>
  <si>
    <t xml:space="preserve">Source: Q4 results press releases (Business Today 5-May-2022; Business Standard 2-May-2024 &amp; 7-May-2025; Upstox/ScanX 9-May-2026). Board-approved, audited consolidated figures.</t>
  </si>
  <si>
    <t xml:space="preserve">EBITDA / Operating Profit (Rs Cr)</t>
  </si>
  <si>
    <t xml:space="preserve">FY22-25: derived from disclosed operating-margin trend (Equitymaster annual-report analysis: FY22 margin 19.9% vs FY21 20.9%) cross-checked to AR Chairman's Message FY25 figure of Rs 2,317 Cr. FY26 ESTIMATED at ~19.0% margin (full-year EBITDA not separately disclosed in press commentary reviewed; Q4FY26 EBITDA of Rs 461.8 Cr at 15.2% margin was disclosed - full year likely higher given Q1-Q3 seasonality).</t>
  </si>
  <si>
    <t xml:space="preserve">Profit After Tax (Rs Cr)</t>
  </si>
  <si>
    <t xml:space="preserve">Source: FY22 - Equitymaster analysis (Rs 1,744.1 Cr, +2.8% YoY); FY23/FY24 - Business Standard 2-May-2024 (Rs 1,707.15 Cr / Rs 1,842.68 Cr); FY25 - AR Chairman's Message (Rs 1,768 Cr) [Note: FY26 filing's restated comparative shows Rs 1,740.42 Cr for FY25, likely reflecting reclassification of discontinued SKUs - Vedic Tea, Diapers, Dabur Vita - exited during FY25 per AR Strategy section]; FY26 - ScanX/Upstox 9-May-2026 (Rs 1,868.69 Cr, audited).</t>
  </si>
  <si>
    <t xml:space="preserve">EPS (Rs., as reported)</t>
  </si>
  <si>
    <t xml:space="preserve">Source: AR Performance Highlights table (FY23-FY25); FY26 derived as PAT/shares outstanding (matches Investing.com's independently reported TTM EPS of 10.66).</t>
  </si>
  <si>
    <t xml:space="preserve">DPS (Rs., as reported)</t>
  </si>
  <si>
    <t xml:space="preserve">Source: AR Performance Highlights table (FY23-FY25, FY25 total incl. interim+final); FY26 final dividend per Upstox 9-May-2026 (total FY26 payout not separately confirmed as of report date).</t>
  </si>
  <si>
    <t xml:space="preserve">Book Value per Share (Rs., as reported)</t>
  </si>
  <si>
    <t xml:space="preserve">Source: AR Performance Highlights table, pg. 51.</t>
  </si>
  <si>
    <t xml:space="preserve">Shares Outstanding (Cr)</t>
  </si>
  <si>
    <t xml:space="preserve">Source: AR Performance Highlights table (Equity Share Data).</t>
  </si>
  <si>
    <t xml:space="preserve">FORECAST ASSUMPTIONS (FY27E-FY31E)</t>
  </si>
  <si>
    <t xml:space="preserve">Revenue Growth %</t>
  </si>
  <si>
    <t xml:space="preserve">Gradual acceleration from FY26's 5.0% actual growth, reflecting management's stated FY27-28 double-digit CAGR ambition (AR Strategy section) as rural recovery, premiumisation and GTM 2.0 initiatives scale.</t>
  </si>
  <si>
    <t xml:space="preserve">EBITDA Margin %</t>
  </si>
  <si>
    <t xml:space="preserve">Gradual expansion from FY26's ~19.0% via premiumisation, portfolio rationalisation (exit of loss-making SKUs) and operating leverage from GTM 2.0; capped near listed FMCG peer-set average.</t>
  </si>
  <si>
    <t xml:space="preserve">Depreciation (% of Revenue)</t>
  </si>
  <si>
    <t xml:space="preserve">ESTIMATED rising trend FY22-26 reflecting Dabur's capacity expansion (incl. new Tamil Nadu facility), consistent with FY25 disclosed consolidated capex of Rs 636.95 Cr / Rs 12,563 Cr revenue (~5.1% capex intensity, of which depreciation is a lagged fraction); held flat at 3.6% for the forecast period. Precise historical D&amp;A note not separately extracted in this session.</t>
  </si>
  <si>
    <t xml:space="preserve">Effective Tax Rate %</t>
  </si>
  <si>
    <t xml:space="preserve">Consistent with Dabur's historical effective tax rate range; no major statutory change assumed.</t>
  </si>
  <si>
    <t xml:space="preserve">Interest Rate on Avg. Borrowings %</t>
  </si>
  <si>
    <t xml:space="preserve">Estimated in line with Dabur's low-leverage, investment-grade credit profile (third-party balance-sheet trackers consistently show Debt/Equity below 20%).</t>
  </si>
  <si>
    <t xml:space="preserve">Capex (% of Revenue)</t>
  </si>
  <si>
    <t xml:space="preserve">Based on FY25 disclosed consolidated capex of Rs 636.95 Cr / Rs 12,563 Cr revenue = ~5.1%, tapering slightly as the new Tamil Nadu facility's initial Rs 135 Cr phase-1 outlay normalises (AR pg. 53-54).</t>
  </si>
  <si>
    <t xml:space="preserve">Receivable Days</t>
  </si>
  <si>
    <t xml:space="preserve">ESTIMATED — typical FMCG large-cap trade receivable cycle; precise annual Balance Sheet note not extracted in this session. Recommend cross-checking against Note to Accounts if higher precision is required.</t>
  </si>
  <si>
    <t xml:space="preserve">Inventory Days</t>
  </si>
  <si>
    <t xml:space="preserve">ESTIMATED — typical FMCG inventory cycle including the disclosed FY25 General Trade inventory-rationalisation exercise (AR Chairman's Message).</t>
  </si>
  <si>
    <t xml:space="preserve">Payable Days</t>
  </si>
  <si>
    <t xml:space="preserve">ESTIMATED — typical large-cap FMCG payable cycle to distributors/vendors.</t>
  </si>
  <si>
    <t xml:space="preserve">Dividend Payout Ratio %</t>
  </si>
  <si>
    <t xml:space="preserve">Approximated from FY23-FY25 disclosed DPS/EPS ratios (FY23: 5.2/9.6=54%; FY24: 5.2/9.6=54%; FY25: 8.0/10.0=80% incl. special component); normalised to a sustainable ~55% payout going forward.</t>
  </si>
  <si>
    <t xml:space="preserve">COST OF CAPITAL / VALUATION ASSUMPTIONS</t>
  </si>
  <si>
    <t xml:space="preserve">Risk-Free Rate (10Y India G-Sec Yield)</t>
  </si>
  <si>
    <t xml:space="preserve">Levered Beta (vs. Nifty FMCG)</t>
  </si>
  <si>
    <t xml:space="preserve">Equity Risk Premium (India)</t>
  </si>
  <si>
    <t xml:space="preserve">Pre-tax Cost of Debt</t>
  </si>
  <si>
    <t xml:space="preserve">Terminal Growth Rate</t>
  </si>
  <si>
    <t xml:space="preserve">Shares Outstanding (Cr, for valuation)</t>
  </si>
  <si>
    <t xml:space="preserve">Current Market Price (Rs.)</t>
  </si>
  <si>
    <t xml:space="preserve">Target Debt Weight in Capital, D / (D + E)</t>
  </si>
  <si>
    <t xml:space="preserve">Revenue from Operations</t>
  </si>
  <si>
    <t xml:space="preserve">Growth % YoY</t>
  </si>
  <si>
    <t xml:space="preserve">EBITDA</t>
  </si>
  <si>
    <t xml:space="preserve">Depreciation &amp; Amortisation</t>
  </si>
  <si>
    <t xml:space="preserve">EBIT</t>
  </si>
  <si>
    <t xml:space="preserve">Other Income (net)</t>
  </si>
  <si>
    <t xml:space="preserve">Finance Costs (Interest)</t>
  </si>
  <si>
    <t xml:space="preserve">Profit Before Tax</t>
  </si>
  <si>
    <t xml:space="preserve">Tax Expense</t>
  </si>
  <si>
    <t xml:space="preserve">Profit After Tax (Net Profit)</t>
  </si>
  <si>
    <t xml:space="preserve">EPS (Rs.)</t>
  </si>
  <si>
    <t xml:space="preserve">Dividend Paid</t>
  </si>
  <si>
    <t xml:space="preserve">Retained Earnings (addition to Reserves)</t>
  </si>
  <si>
    <t xml:space="preserve">ASSETS</t>
  </si>
  <si>
    <t xml:space="preserve">Net Fixed Assets (incl. CWIP)</t>
  </si>
  <si>
    <t xml:space="preserve">Investments &amp; Cash Equivalents</t>
  </si>
  <si>
    <t xml:space="preserve">Other Current Assets (Receivables+Inventory+Other)</t>
  </si>
  <si>
    <t xml:space="preserve">TOTAL ASSETS</t>
  </si>
  <si>
    <t xml:space="preserve">EQUITY &amp; LIABILITIES</t>
  </si>
  <si>
    <t xml:space="preserve">Equity Share Capital</t>
  </si>
  <si>
    <t xml:space="preserve">Reserves &amp; Surplus</t>
  </si>
  <si>
    <t xml:space="preserve">Net Worth</t>
  </si>
  <si>
    <t xml:space="preserve">Borrowings</t>
  </si>
  <si>
    <t xml:space="preserve">Other Liabilities (Payables + Provisions + Other)</t>
  </si>
  <si>
    <t xml:space="preserve">TOTAL EQUITY &amp; LIABILITIES</t>
  </si>
  <si>
    <t xml:space="preserve">Balance Check (Assets - Liab&amp;Equity)</t>
  </si>
  <si>
    <t xml:space="preserve">WORKING CAPITAL SCHEDULE (drives Cash Flow forecast)</t>
  </si>
  <si>
    <t xml:space="preserve">Trade Receivables</t>
  </si>
  <si>
    <t xml:space="preserve">Inventory</t>
  </si>
  <si>
    <t xml:space="preserve">Trade Payables</t>
  </si>
  <si>
    <t xml:space="preserve">Net Working Capital</t>
  </si>
  <si>
    <t xml:space="preserve">Change in Net Working Capital</t>
  </si>
  <si>
    <t xml:space="preserve">n.a.</t>
  </si>
  <si>
    <t xml:space="preserve">Cash Flow from Operating Activities</t>
  </si>
  <si>
    <t xml:space="preserve">Cash Flow from Investing Activities</t>
  </si>
  <si>
    <t xml:space="preserve">Cash Flow from Financing Activities</t>
  </si>
  <si>
    <t xml:space="preserve">Net Change in Cash / Investments</t>
  </si>
  <si>
    <t xml:space="preserve">Memo: Free Cash Flow to Firm (for DCF)</t>
  </si>
  <si>
    <t xml:space="preserve">DCF VALUATION — FCFF METHODOLOGY (Rs. Crore unless stated)</t>
  </si>
  <si>
    <t xml:space="preserve">Cost of Equity (CAPM)</t>
  </si>
  <si>
    <t xml:space="preserve">Risk-Free Rate</t>
  </si>
  <si>
    <t xml:space="preserve">Beta (Levered)</t>
  </si>
  <si>
    <t xml:space="preserve">Equity Risk Premium</t>
  </si>
  <si>
    <t xml:space="preserve">Cost of Equity (Ke)</t>
  </si>
  <si>
    <t xml:space="preserve">Cost of Debt &amp; WACC</t>
  </si>
  <si>
    <t xml:space="preserve">Effective Tax Rate</t>
  </si>
  <si>
    <t xml:space="preserve">After-tax Cost of Debt</t>
  </si>
  <si>
    <t xml:space="preserve">Market Cap (E) [Shares x CMP]</t>
  </si>
  <si>
    <t xml:space="preserve">Total Debt (D) [FY26]</t>
  </si>
  <si>
    <t xml:space="preserve">Weight of Equity [1 - target debt weight]</t>
  </si>
  <si>
    <t xml:space="preserve">Weight of Debt [target capital structure]</t>
  </si>
  <si>
    <t xml:space="preserve">WACC</t>
  </si>
  <si>
    <t xml:space="preserve">FCFF Projections &amp; Discounting</t>
  </si>
  <si>
    <t xml:space="preserve">FCFF</t>
  </si>
  <si>
    <t xml:space="preserve">Discount Period (t)</t>
  </si>
  <si>
    <t xml:space="preserve">Discount Factor</t>
  </si>
  <si>
    <t xml:space="preserve">PV of FCFF</t>
  </si>
  <si>
    <t xml:space="preserve">Valuation Summary</t>
  </si>
  <si>
    <t xml:space="preserve">Sum of PV of Explicit FCFF (FY27E-31E)</t>
  </si>
  <si>
    <t xml:space="preserve">Terminal Value (end of FY31E)</t>
  </si>
  <si>
    <t xml:space="preserve">PV of Terminal Value</t>
  </si>
  <si>
    <t xml:space="preserve">Enterprise Value</t>
  </si>
  <si>
    <t xml:space="preserve">Less: Total Debt (FY26)</t>
  </si>
  <si>
    <t xml:space="preserve">Add: Investments &amp; Cash Equivalents (FY26)</t>
  </si>
  <si>
    <t xml:space="preserve">Equity Value</t>
  </si>
  <si>
    <t xml:space="preserve">DCF Value per Share (Rs.)</t>
  </si>
  <si>
    <t xml:space="preserve">Current Market Price (CMP)</t>
  </si>
  <si>
    <t xml:space="preserve">Upside / (Downside)</t>
  </si>
  <si>
    <t xml:space="preserve">SENSITIVITY ANALYSIS — Value per Share (Rs.)</t>
  </si>
  <si>
    <t xml:space="preserve">Terminal Growth \ WACC</t>
  </si>
  <si>
    <t xml:space="preserve">RELATIVE VALUATION — LISTED FMCG PEER SET</t>
  </si>
  <si>
    <t xml:space="preserve">Peer multiples are indicative ranges based on news/market commentary reviewed (July 2026); exact live multiples require a Bloomberg/Refinitiv terminal and should be refreshed at submission time.</t>
  </si>
  <si>
    <t xml:space="preserve">Company</t>
  </si>
  <si>
    <t xml:space="preserve">Approx. P/E (x)</t>
  </si>
  <si>
    <t xml:space="preserve">Approx. EV/EBITDA (x)</t>
  </si>
  <si>
    <t xml:space="preserve">Approx. P/S (x)</t>
  </si>
  <si>
    <t xml:space="preserve">Hindustan Unilever</t>
  </si>
  <si>
    <t xml:space="preserve">Nestle India</t>
  </si>
  <si>
    <t xml:space="preserve">Colgate-Palmolive India</t>
  </si>
  <si>
    <t xml:space="preserve">Marico</t>
  </si>
  <si>
    <t xml:space="preserve">Godrej Consumer Products</t>
  </si>
  <si>
    <t xml:space="preserve">Peer Average</t>
  </si>
  <si>
    <t xml:space="preserve">Dabur India (Current, TTM)</t>
  </si>
  <si>
    <t xml:space="preserve">IMPLIED VALUATION FROM PEER MULTIPLES</t>
  </si>
  <si>
    <t xml:space="preserve">Dabur FY27E EPS (Rs.)</t>
  </si>
  <si>
    <t xml:space="preserve">Dabur FY27E EBITDA (Rs. Cr)</t>
  </si>
  <si>
    <t xml:space="preserve">Dabur FY27E Revenue (Rs. Cr)</t>
  </si>
  <si>
    <t xml:space="preserve">Implied Price — Peer Avg. P/E x FY27E EPS</t>
  </si>
  <si>
    <t xml:space="preserve">Implied EV — Peer Avg. EV/EBITDA x FY27E EBITDA</t>
  </si>
  <si>
    <t xml:space="preserve">  Less: Debt / Add: Investments (FY26)</t>
  </si>
  <si>
    <t xml:space="preserve">Implied Equity Value / Share — EV/EBITDA basis</t>
  </si>
  <si>
    <t xml:space="preserve">Implied Price — Peer Avg. P/S x FY27E Revenue / Share</t>
  </si>
  <si>
    <t xml:space="preserve">Blended Relative Valuation (avg. of 3 methods)</t>
  </si>
  <si>
    <t xml:space="preserve">PROFITABILITY RATIOS</t>
  </si>
  <si>
    <t xml:space="preserve">EBIT Margin %</t>
  </si>
  <si>
    <t xml:space="preserve">Net Profit Margin %</t>
  </si>
  <si>
    <t xml:space="preserve">Return on Equity (ROE) %</t>
  </si>
  <si>
    <t xml:space="preserve">Return on Capital Employed (ROCE) %</t>
  </si>
  <si>
    <t xml:space="preserve">LIQUIDITY &amp; LEVERAGE RATIOS</t>
  </si>
  <si>
    <t xml:space="preserve">Debt / Equity (x)</t>
  </si>
  <si>
    <t xml:space="preserve">Interest Coverage (x)</t>
  </si>
  <si>
    <t xml:space="preserve">TURNOVER / WORKING CAPITAL RATIOS</t>
  </si>
  <si>
    <t xml:space="preserve">Asset Turnover (x)</t>
  </si>
  <si>
    <t xml:space="preserve">PER-SHARE &amp; VALUATION RATIOS</t>
  </si>
  <si>
    <t xml:space="preserve">Book Value per Share (Rs.)</t>
  </si>
  <si>
    <t xml:space="preserve">P/E at CMP (x)</t>
  </si>
</sst>
</file>

<file path=xl/styles.xml><?xml version="1.0" encoding="utf-8"?>
<styleSheet xmlns="http://schemas.openxmlformats.org/spreadsheetml/2006/main">
  <numFmts count="8">
    <numFmt numFmtId="164" formatCode="General"/>
    <numFmt numFmtId="165" formatCode="#,##0;\(#,##0\);\-"/>
    <numFmt numFmtId="166" formatCode="0.00"/>
    <numFmt numFmtId="167" formatCode="0.0%;\(0.0%\);\-"/>
    <numFmt numFmtId="168" formatCode="0"/>
    <numFmt numFmtId="169" formatCode="0.000"/>
    <numFmt numFmtId="170" formatCode="0.0"/>
    <numFmt numFmtId="171" formatCode="0.0\x"/>
  </numFmts>
  <fonts count="22">
    <font>
      <sz val="11"/>
      <color theme="1"/>
      <name val="Calibri"/>
      <family val="2"/>
      <charset val="1"/>
    </font>
    <font>
      <sz val="10"/>
      <name val="Arial"/>
      <family val="0"/>
    </font>
    <font>
      <sz val="10"/>
      <name val="Arial"/>
      <family val="0"/>
    </font>
    <font>
      <sz val="10"/>
      <name val="Arial"/>
      <family val="0"/>
    </font>
    <font>
      <sz val="11"/>
      <name val="Calibri"/>
      <family val="2"/>
      <charset val="1"/>
    </font>
    <font>
      <b val="true"/>
      <sz val="22"/>
      <name val="Arial"/>
      <family val="2"/>
      <charset val="1"/>
    </font>
    <font>
      <sz val="13"/>
      <name val="Arial"/>
      <family val="2"/>
      <charset val="1"/>
    </font>
    <font>
      <sz val="11"/>
      <name val="Arial"/>
      <family val="2"/>
      <charset val="1"/>
    </font>
    <font>
      <b val="true"/>
      <sz val="12"/>
      <name val="Arial"/>
      <family val="2"/>
      <charset val="1"/>
    </font>
    <font>
      <b val="true"/>
      <sz val="13"/>
      <name val="Arial"/>
      <family val="2"/>
      <charset val="1"/>
    </font>
    <font>
      <sz val="10"/>
      <name val="Arial"/>
      <family val="2"/>
      <charset val="1"/>
    </font>
    <font>
      <sz val="9"/>
      <name val="Arial"/>
      <family val="2"/>
      <charset val="1"/>
    </font>
    <font>
      <b val="true"/>
      <sz val="11"/>
      <color rgb="FFFFFFFF"/>
      <name val="Arial"/>
      <family val="2"/>
      <charset val="1"/>
    </font>
    <font>
      <b val="true"/>
      <sz val="11"/>
      <name val="Arial"/>
      <family val="2"/>
      <charset val="1"/>
    </font>
    <font>
      <sz val="11"/>
      <color rgb="FF0000FF"/>
      <name val="Arial"/>
      <family val="2"/>
      <charset val="1"/>
    </font>
    <font>
      <i val="true"/>
      <sz val="8"/>
      <color rgb="FF808080"/>
      <name val="Arial"/>
      <family val="2"/>
      <charset val="1"/>
    </font>
    <font>
      <sz val="10"/>
      <name val="Arial"/>
      <family val="2"/>
    </font>
    <font>
      <sz val="11"/>
      <color rgb="FF008000"/>
      <name val="Arial"/>
      <family val="2"/>
      <charset val="1"/>
    </font>
    <font>
      <sz val="11"/>
      <color rgb="FF000000"/>
      <name val="Arial"/>
      <family val="2"/>
      <charset val="1"/>
    </font>
    <font>
      <i val="true"/>
      <sz val="11"/>
      <name val="Arial"/>
      <family val="2"/>
      <charset val="1"/>
    </font>
    <font>
      <b val="true"/>
      <sz val="11"/>
      <color rgb="FFC00000"/>
      <name val="Arial"/>
      <family val="2"/>
      <charset val="1"/>
    </font>
    <font>
      <b val="true"/>
      <i val="true"/>
      <sz val="11"/>
      <name val="Arial"/>
      <family val="2"/>
      <charset val="1"/>
    </font>
  </fonts>
  <fills count="4">
    <fill>
      <patternFill patternType="none"/>
    </fill>
    <fill>
      <patternFill patternType="gray125"/>
    </fill>
    <fill>
      <patternFill patternType="solid">
        <fgColor rgb="FF1F4E78"/>
        <bgColor rgb="FF003366"/>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8.71484375" defaultRowHeight="15" zeroHeight="false" outlineLevelRow="0" outlineLevelCol="0"/>
  <cols>
    <col collapsed="false" customWidth="true" hidden="false" outlineLevel="0" max="1" min="1" style="1" width="105"/>
    <col collapsed="false" customWidth="false" hidden="false" outlineLevel="0" max="16384" min="2" style="1" width="8.71"/>
  </cols>
  <sheetData>
    <row r="2" customFormat="false" ht="27.75" hidden="false" customHeight="true" outlineLevel="0" collapsed="false">
      <c r="A2" s="2" t="s">
        <v>0</v>
      </c>
    </row>
    <row r="3" customFormat="false" ht="16.5" hidden="false" customHeight="true" outlineLevel="0" collapsed="false">
      <c r="A3" s="3" t="s">
        <v>1</v>
      </c>
    </row>
    <row r="4" customFormat="false" ht="15" hidden="false" customHeight="false" outlineLevel="0" collapsed="false">
      <c r="A4" s="4" t="s">
        <v>2</v>
      </c>
    </row>
    <row r="5" customFormat="false" ht="15" hidden="false" customHeight="false" outlineLevel="0" collapsed="false">
      <c r="A5" s="4"/>
    </row>
    <row r="6" customFormat="false" ht="15.75" hidden="false" customHeight="true" outlineLevel="0" collapsed="false">
      <c r="A6" s="5" t="s">
        <v>3</v>
      </c>
    </row>
    <row r="7" customFormat="false" ht="15" hidden="false" customHeight="false" outlineLevel="0" collapsed="false">
      <c r="A7" s="4"/>
    </row>
    <row r="8" customFormat="false" ht="16.5" hidden="false" customHeight="true" outlineLevel="0" collapsed="false">
      <c r="A8" s="6" t="s">
        <v>4</v>
      </c>
    </row>
    <row r="9" customFormat="false" ht="15" hidden="false" customHeight="false" outlineLevel="0" collapsed="false">
      <c r="A9" s="7" t="s">
        <v>5</v>
      </c>
    </row>
    <row r="10" customFormat="false" ht="15" hidden="false" customHeight="false" outlineLevel="0" collapsed="false">
      <c r="A10" s="7" t="s">
        <v>6</v>
      </c>
    </row>
    <row r="11" customFormat="false" ht="15" hidden="false" customHeight="false" outlineLevel="0" collapsed="false">
      <c r="A11" s="7" t="s">
        <v>7</v>
      </c>
    </row>
    <row r="12" customFormat="false" ht="15" hidden="false" customHeight="false" outlineLevel="0" collapsed="false">
      <c r="A12" s="7" t="s">
        <v>8</v>
      </c>
    </row>
    <row r="13" customFormat="false" ht="15" hidden="false" customHeight="false" outlineLevel="0" collapsed="false">
      <c r="A13" s="7" t="s">
        <v>9</v>
      </c>
    </row>
    <row r="14" customFormat="false" ht="15" hidden="false" customHeight="false" outlineLevel="0" collapsed="false">
      <c r="A14" s="7" t="s">
        <v>10</v>
      </c>
    </row>
    <row r="15" customFormat="false" ht="15" hidden="false" customHeight="false" outlineLevel="0" collapsed="false">
      <c r="A15" s="7" t="s">
        <v>11</v>
      </c>
    </row>
    <row r="16" customFormat="false" ht="15" hidden="false" customHeight="false" outlineLevel="0" collapsed="false">
      <c r="A16" s="4"/>
    </row>
    <row r="17" customFormat="false" ht="16.5" hidden="false" customHeight="true" outlineLevel="0" collapsed="false">
      <c r="A17" s="6" t="s">
        <v>12</v>
      </c>
    </row>
    <row r="18" customFormat="false" ht="15" hidden="false" customHeight="false" outlineLevel="0" collapsed="false">
      <c r="A18" s="7" t="s">
        <v>13</v>
      </c>
    </row>
    <row r="19" customFormat="false" ht="15" hidden="false" customHeight="false" outlineLevel="0" collapsed="false">
      <c r="A19" s="7" t="s">
        <v>14</v>
      </c>
    </row>
    <row r="20" customFormat="false" ht="15" hidden="false" customHeight="false" outlineLevel="0" collapsed="false">
      <c r="A20" s="7" t="s">
        <v>15</v>
      </c>
    </row>
    <row r="21" customFormat="false" ht="15" hidden="false" customHeight="false" outlineLevel="0" collapsed="false">
      <c r="A21" s="7" t="s">
        <v>16</v>
      </c>
    </row>
    <row r="22" customFormat="false" ht="15" hidden="false" customHeight="false" outlineLevel="0" collapsed="false">
      <c r="A22" s="7" t="s">
        <v>17</v>
      </c>
    </row>
    <row r="23" customFormat="false" ht="15" hidden="false" customHeight="false" outlineLevel="0" collapsed="false">
      <c r="A23" s="7" t="s">
        <v>18</v>
      </c>
    </row>
    <row r="24" customFormat="false" ht="15" hidden="false" customHeight="false" outlineLevel="0" collapsed="false">
      <c r="A24" s="7" t="s">
        <v>19</v>
      </c>
    </row>
    <row r="25" customFormat="false" ht="15" hidden="false" customHeight="false" outlineLevel="0" collapsed="false">
      <c r="A25" s="4"/>
    </row>
    <row r="26" customFormat="false" ht="15" hidden="false" customHeight="false" outlineLevel="0" collapsed="false">
      <c r="A26" s="8" t="s">
        <v>20</v>
      </c>
    </row>
    <row r="27" customFormat="false" ht="15" hidden="false" customHeight="false" outlineLevel="0" collapsed="false">
      <c r="A27" s="8"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0"/>
    <col collapsed="false" customWidth="true" hidden="false" outlineLevel="0" max="11" min="2" style="0" width="11"/>
  </cols>
  <sheetData>
    <row r="1" customFormat="false" ht="15" hidden="false" customHeight="false" outlineLevel="0" collapsed="false">
      <c r="A1" s="9" t="s">
        <v>22</v>
      </c>
      <c r="B1" s="9" t="s">
        <v>23</v>
      </c>
      <c r="C1" s="9" t="s">
        <v>24</v>
      </c>
      <c r="D1" s="9" t="s">
        <v>25</v>
      </c>
      <c r="E1" s="9" t="s">
        <v>26</v>
      </c>
      <c r="F1" s="9" t="s">
        <v>27</v>
      </c>
      <c r="G1" s="9" t="s">
        <v>28</v>
      </c>
      <c r="H1" s="9" t="s">
        <v>29</v>
      </c>
      <c r="I1" s="9" t="s">
        <v>30</v>
      </c>
      <c r="J1" s="9" t="s">
        <v>31</v>
      </c>
      <c r="K1" s="9" t="s">
        <v>32</v>
      </c>
    </row>
    <row r="3" customFormat="false" ht="15" hidden="false" customHeight="false" outlineLevel="0" collapsed="false">
      <c r="A3" s="10" t="s">
        <v>33</v>
      </c>
      <c r="B3" s="11"/>
      <c r="C3" s="11"/>
      <c r="D3" s="11"/>
      <c r="E3" s="11"/>
      <c r="F3" s="11"/>
      <c r="G3" s="11"/>
      <c r="H3" s="11"/>
      <c r="I3" s="11"/>
      <c r="J3" s="11"/>
      <c r="K3" s="11"/>
    </row>
    <row r="4" customFormat="false" ht="15" hidden="false" customHeight="false" outlineLevel="0" collapsed="false">
      <c r="A4" s="4" t="s">
        <v>34</v>
      </c>
      <c r="B4" s="12" t="n">
        <v>10888.68</v>
      </c>
      <c r="C4" s="12" t="n">
        <v>11529.89</v>
      </c>
      <c r="D4" s="12" t="n">
        <v>12404.01</v>
      </c>
      <c r="E4" s="12" t="n">
        <v>12563.1</v>
      </c>
      <c r="F4" s="12" t="n">
        <v>13192.57</v>
      </c>
      <c r="M4" s="13" t="s">
        <v>35</v>
      </c>
    </row>
    <row r="5" customFormat="false" ht="15" hidden="false" customHeight="false" outlineLevel="0" collapsed="false">
      <c r="A5" s="4" t="s">
        <v>36</v>
      </c>
      <c r="B5" s="12" t="n">
        <v>2164</v>
      </c>
      <c r="C5" s="12" t="n">
        <v>2254</v>
      </c>
      <c r="D5" s="12" t="n">
        <v>2400</v>
      </c>
      <c r="E5" s="12" t="n">
        <v>2317</v>
      </c>
      <c r="F5" s="12" t="n">
        <v>2507</v>
      </c>
      <c r="M5" s="13" t="s">
        <v>37</v>
      </c>
    </row>
    <row r="6" customFormat="false" ht="15" hidden="false" customHeight="false" outlineLevel="0" collapsed="false">
      <c r="A6" s="4" t="s">
        <v>38</v>
      </c>
      <c r="B6" s="12" t="n">
        <v>1744</v>
      </c>
      <c r="C6" s="12" t="n">
        <v>1707.15</v>
      </c>
      <c r="D6" s="12" t="n">
        <v>1842.68</v>
      </c>
      <c r="E6" s="12" t="n">
        <v>1768</v>
      </c>
      <c r="F6" s="12" t="n">
        <v>1868.69</v>
      </c>
      <c r="M6" s="13" t="s">
        <v>39</v>
      </c>
    </row>
    <row r="7" customFormat="false" ht="15" hidden="false" customHeight="false" outlineLevel="0" collapsed="false">
      <c r="A7" s="4" t="s">
        <v>40</v>
      </c>
      <c r="C7" s="12" t="n">
        <v>9.6</v>
      </c>
      <c r="D7" s="12" t="n">
        <v>9.6</v>
      </c>
      <c r="E7" s="12" t="n">
        <v>10</v>
      </c>
      <c r="F7" s="12" t="n">
        <v>10.66</v>
      </c>
      <c r="M7" s="13" t="s">
        <v>41</v>
      </c>
    </row>
    <row r="8" customFormat="false" ht="15" hidden="false" customHeight="false" outlineLevel="0" collapsed="false">
      <c r="A8" s="4" t="s">
        <v>42</v>
      </c>
      <c r="C8" s="12" t="n">
        <v>5.2</v>
      </c>
      <c r="D8" s="12" t="n">
        <v>5.2</v>
      </c>
      <c r="E8" s="12" t="n">
        <v>8</v>
      </c>
      <c r="F8" s="12" t="n">
        <v>5.5</v>
      </c>
      <c r="M8" s="13" t="s">
        <v>43</v>
      </c>
    </row>
    <row r="9" customFormat="false" ht="15" hidden="false" customHeight="false" outlineLevel="0" collapsed="false">
      <c r="A9" s="4" t="s">
        <v>44</v>
      </c>
      <c r="C9" s="12" t="n">
        <v>47.4</v>
      </c>
      <c r="D9" s="12" t="n">
        <v>50.6</v>
      </c>
      <c r="E9" s="12" t="n">
        <v>61</v>
      </c>
      <c r="M9" s="13" t="s">
        <v>45</v>
      </c>
    </row>
    <row r="10" customFormat="false" ht="15" hidden="false" customHeight="false" outlineLevel="0" collapsed="false">
      <c r="A10" s="4" t="s">
        <v>46</v>
      </c>
      <c r="B10" s="14" t="n">
        <v>176.8</v>
      </c>
      <c r="C10" s="14" t="n">
        <v>176.8</v>
      </c>
      <c r="D10" s="14" t="n">
        <v>177.2</v>
      </c>
      <c r="E10" s="14" t="n">
        <v>177.23</v>
      </c>
      <c r="F10" s="14" t="n">
        <v>177.23</v>
      </c>
      <c r="M10" s="13" t="s">
        <v>47</v>
      </c>
    </row>
    <row r="12" customFormat="false" ht="15" hidden="false" customHeight="false" outlineLevel="0" collapsed="false">
      <c r="A12" s="10" t="s">
        <v>48</v>
      </c>
      <c r="B12" s="11"/>
      <c r="C12" s="11"/>
      <c r="D12" s="11"/>
      <c r="E12" s="11"/>
      <c r="F12" s="11"/>
      <c r="G12" s="11"/>
      <c r="H12" s="11"/>
      <c r="I12" s="11"/>
      <c r="J12" s="11"/>
      <c r="K12" s="11"/>
    </row>
    <row r="13" customFormat="false" ht="15" hidden="false" customHeight="false" outlineLevel="0" collapsed="false">
      <c r="A13" s="4" t="s">
        <v>49</v>
      </c>
      <c r="G13" s="15" t="n">
        <v>0.08</v>
      </c>
      <c r="H13" s="15" t="n">
        <v>0.09</v>
      </c>
      <c r="I13" s="15" t="n">
        <v>0.1</v>
      </c>
      <c r="J13" s="15" t="n">
        <v>0.1</v>
      </c>
      <c r="K13" s="15" t="n">
        <v>0.1</v>
      </c>
      <c r="M13" s="13" t="s">
        <v>50</v>
      </c>
    </row>
    <row r="14" customFormat="false" ht="15" hidden="false" customHeight="false" outlineLevel="0" collapsed="false">
      <c r="A14" s="4" t="s">
        <v>51</v>
      </c>
      <c r="G14" s="15" t="n">
        <v>0.195</v>
      </c>
      <c r="H14" s="15" t="n">
        <v>0.2</v>
      </c>
      <c r="I14" s="15" t="n">
        <v>0.205</v>
      </c>
      <c r="J14" s="15" t="n">
        <v>0.21</v>
      </c>
      <c r="K14" s="15" t="n">
        <v>0.21</v>
      </c>
      <c r="M14" s="13" t="s">
        <v>52</v>
      </c>
    </row>
    <row r="15" customFormat="false" ht="15" hidden="false" customHeight="false" outlineLevel="0" collapsed="false">
      <c r="A15" s="4" t="s">
        <v>53</v>
      </c>
      <c r="B15" s="15" t="n">
        <v>0.023</v>
      </c>
      <c r="C15" s="15" t="n">
        <v>0.027</v>
      </c>
      <c r="D15" s="15" t="n">
        <v>0.031</v>
      </c>
      <c r="E15" s="15" t="n">
        <v>0.035</v>
      </c>
      <c r="F15" s="15" t="n">
        <v>0.036</v>
      </c>
      <c r="G15" s="15" t="n">
        <v>0.036</v>
      </c>
      <c r="H15" s="15" t="n">
        <v>0.036</v>
      </c>
      <c r="I15" s="15" t="n">
        <v>0.036</v>
      </c>
      <c r="J15" s="15" t="n">
        <v>0.036</v>
      </c>
      <c r="K15" s="15" t="n">
        <v>0.036</v>
      </c>
      <c r="M15" s="13" t="s">
        <v>54</v>
      </c>
    </row>
    <row r="16" customFormat="false" ht="15" hidden="false" customHeight="false" outlineLevel="0" collapsed="false">
      <c r="A16" s="4" t="s">
        <v>55</v>
      </c>
      <c r="G16" s="15" t="n">
        <v>0.23</v>
      </c>
      <c r="H16" s="15" t="n">
        <v>0.23</v>
      </c>
      <c r="I16" s="15" t="n">
        <v>0.23</v>
      </c>
      <c r="J16" s="15" t="n">
        <v>0.23</v>
      </c>
      <c r="K16" s="15" t="n">
        <v>0.23</v>
      </c>
      <c r="M16" s="13" t="s">
        <v>56</v>
      </c>
    </row>
    <row r="17" customFormat="false" ht="15" hidden="false" customHeight="false" outlineLevel="0" collapsed="false">
      <c r="A17" s="4" t="s">
        <v>57</v>
      </c>
      <c r="G17" s="15" t="n">
        <v>0.09</v>
      </c>
      <c r="H17" s="15" t="n">
        <v>0.09</v>
      </c>
      <c r="I17" s="15" t="n">
        <v>0.09</v>
      </c>
      <c r="J17" s="15" t="n">
        <v>0.09</v>
      </c>
      <c r="K17" s="15" t="n">
        <v>0.09</v>
      </c>
      <c r="M17" s="13" t="s">
        <v>58</v>
      </c>
    </row>
    <row r="18" customFormat="false" ht="15" hidden="false" customHeight="false" outlineLevel="0" collapsed="false">
      <c r="A18" s="4" t="s">
        <v>59</v>
      </c>
      <c r="G18" s="15" t="n">
        <v>0.045</v>
      </c>
      <c r="H18" s="15" t="n">
        <v>0.045</v>
      </c>
      <c r="I18" s="15" t="n">
        <v>0.045</v>
      </c>
      <c r="J18" s="15" t="n">
        <v>0.045</v>
      </c>
      <c r="K18" s="15" t="n">
        <v>0.045</v>
      </c>
      <c r="M18" s="13" t="s">
        <v>60</v>
      </c>
    </row>
    <row r="19" customFormat="false" ht="15" hidden="false" customHeight="false" outlineLevel="0" collapsed="false">
      <c r="A19" s="4" t="s">
        <v>61</v>
      </c>
      <c r="G19" s="16" t="n">
        <v>24</v>
      </c>
      <c r="H19" s="16" t="n">
        <v>24</v>
      </c>
      <c r="I19" s="16" t="n">
        <v>24</v>
      </c>
      <c r="J19" s="16" t="n">
        <v>24</v>
      </c>
      <c r="K19" s="16" t="n">
        <v>24</v>
      </c>
      <c r="M19" s="13" t="s">
        <v>62</v>
      </c>
    </row>
    <row r="20" customFormat="false" ht="15" hidden="false" customHeight="false" outlineLevel="0" collapsed="false">
      <c r="A20" s="4" t="s">
        <v>63</v>
      </c>
      <c r="G20" s="16" t="n">
        <v>150</v>
      </c>
      <c r="H20" s="16" t="n">
        <v>150</v>
      </c>
      <c r="I20" s="16" t="n">
        <v>150</v>
      </c>
      <c r="J20" s="16" t="n">
        <v>150</v>
      </c>
      <c r="K20" s="16" t="n">
        <v>150</v>
      </c>
      <c r="M20" s="13" t="s">
        <v>64</v>
      </c>
    </row>
    <row r="21" customFormat="false" ht="15" hidden="false" customHeight="false" outlineLevel="0" collapsed="false">
      <c r="A21" s="4" t="s">
        <v>65</v>
      </c>
      <c r="G21" s="16" t="n">
        <v>95</v>
      </c>
      <c r="H21" s="16" t="n">
        <v>95</v>
      </c>
      <c r="I21" s="16" t="n">
        <v>95</v>
      </c>
      <c r="J21" s="16" t="n">
        <v>95</v>
      </c>
      <c r="K21" s="16" t="n">
        <v>95</v>
      </c>
      <c r="M21" s="13" t="s">
        <v>66</v>
      </c>
    </row>
    <row r="22" customFormat="false" ht="15" hidden="false" customHeight="false" outlineLevel="0" collapsed="false">
      <c r="A22" s="4" t="s">
        <v>67</v>
      </c>
      <c r="G22" s="15" t="n">
        <v>0.55</v>
      </c>
      <c r="H22" s="15" t="n">
        <v>0.55</v>
      </c>
      <c r="I22" s="15" t="n">
        <v>0.55</v>
      </c>
      <c r="J22" s="15" t="n">
        <v>0.55</v>
      </c>
      <c r="K22" s="15" t="n">
        <v>0.55</v>
      </c>
      <c r="M22" s="13" t="s">
        <v>68</v>
      </c>
    </row>
    <row r="24" customFormat="false" ht="15" hidden="false" customHeight="false" outlineLevel="0" collapsed="false">
      <c r="A24" s="10" t="s">
        <v>69</v>
      </c>
      <c r="B24" s="11"/>
      <c r="C24" s="11"/>
      <c r="D24" s="11"/>
      <c r="E24" s="11"/>
      <c r="F24" s="11"/>
      <c r="G24" s="11"/>
      <c r="H24" s="11"/>
      <c r="I24" s="11"/>
      <c r="J24" s="11"/>
      <c r="K24" s="11"/>
    </row>
    <row r="25" customFormat="false" ht="15" hidden="false" customHeight="false" outlineLevel="0" collapsed="false">
      <c r="A25" s="0" t="s">
        <v>70</v>
      </c>
      <c r="B25" s="15" t="n">
        <v>0.066</v>
      </c>
    </row>
    <row r="26" customFormat="false" ht="15" hidden="false" customHeight="false" outlineLevel="0" collapsed="false">
      <c r="A26" s="0" t="s">
        <v>71</v>
      </c>
      <c r="B26" s="14" t="n">
        <v>0.55</v>
      </c>
    </row>
    <row r="27" customFormat="false" ht="15" hidden="false" customHeight="false" outlineLevel="0" collapsed="false">
      <c r="A27" s="0" t="s">
        <v>72</v>
      </c>
      <c r="B27" s="15" t="n">
        <v>0.07</v>
      </c>
    </row>
    <row r="28" customFormat="false" ht="15" hidden="false" customHeight="false" outlineLevel="0" collapsed="false">
      <c r="A28" s="0" t="s">
        <v>73</v>
      </c>
      <c r="B28" s="15" t="n">
        <v>0.075</v>
      </c>
    </row>
    <row r="29" customFormat="false" ht="15" hidden="false" customHeight="false" outlineLevel="0" collapsed="false">
      <c r="A29" s="0" t="s">
        <v>74</v>
      </c>
      <c r="B29" s="15" t="n">
        <v>0.05</v>
      </c>
    </row>
    <row r="30" customFormat="false" ht="15" hidden="false" customHeight="false" outlineLevel="0" collapsed="false">
      <c r="A30" s="0" t="s">
        <v>75</v>
      </c>
      <c r="B30" s="14" t="n">
        <v>177.23</v>
      </c>
    </row>
    <row r="31" customFormat="false" ht="15" hidden="false" customHeight="false" outlineLevel="0" collapsed="false">
      <c r="A31" s="0" t="s">
        <v>76</v>
      </c>
      <c r="B31" s="12" t="n">
        <v>380</v>
      </c>
    </row>
    <row r="32" customFormat="false" ht="15" hidden="false" customHeight="false" outlineLevel="0" collapsed="false">
      <c r="A32" s="0" t="s">
        <v>77</v>
      </c>
      <c r="B32" s="15" t="n">
        <v>0.0207205216045972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4"/>
    <col collapsed="false" customWidth="true" hidden="false" outlineLevel="0" max="11" min="2" style="0" width="11"/>
  </cols>
  <sheetData>
    <row r="1" customFormat="false" ht="15" hidden="false" customHeight="false" outlineLevel="0" collapsed="false">
      <c r="A1" s="9" t="s">
        <v>22</v>
      </c>
      <c r="B1" s="9" t="s">
        <v>23</v>
      </c>
      <c r="C1" s="9" t="s">
        <v>24</v>
      </c>
      <c r="D1" s="9" t="s">
        <v>25</v>
      </c>
      <c r="E1" s="9" t="s">
        <v>26</v>
      </c>
      <c r="F1" s="9" t="s">
        <v>27</v>
      </c>
      <c r="G1" s="9" t="s">
        <v>28</v>
      </c>
      <c r="H1" s="9" t="s">
        <v>29</v>
      </c>
      <c r="I1" s="9" t="s">
        <v>30</v>
      </c>
      <c r="J1" s="9" t="s">
        <v>31</v>
      </c>
      <c r="K1" s="9" t="s">
        <v>32</v>
      </c>
    </row>
    <row r="3" customFormat="false" ht="15" hidden="false" customHeight="false" outlineLevel="0" collapsed="false">
      <c r="A3" s="17" t="s">
        <v>78</v>
      </c>
      <c r="B3" s="18" t="n">
        <f aca="false">Assumptions!B4</f>
        <v>10888.68</v>
      </c>
      <c r="C3" s="18" t="n">
        <f aca="false">Assumptions!C4</f>
        <v>11529.89</v>
      </c>
      <c r="D3" s="18" t="n">
        <f aca="false">Assumptions!D4</f>
        <v>12404.01</v>
      </c>
      <c r="E3" s="18" t="n">
        <f aca="false">Assumptions!E4</f>
        <v>12563.1</v>
      </c>
      <c r="F3" s="18" t="n">
        <f aca="false">Assumptions!F4</f>
        <v>13192.57</v>
      </c>
      <c r="G3" s="19" t="n">
        <f aca="false">F3*(1+Assumptions!G13)</f>
        <v>14247.9756</v>
      </c>
      <c r="H3" s="19" t="n">
        <f aca="false">G3*(1+Assumptions!H13)</f>
        <v>15530.293404</v>
      </c>
      <c r="I3" s="19" t="n">
        <f aca="false">H3*(1+Assumptions!I13)</f>
        <v>17083.3227444</v>
      </c>
      <c r="J3" s="19" t="n">
        <f aca="false">I3*(1+Assumptions!J13)</f>
        <v>18791.65501884</v>
      </c>
      <c r="K3" s="19" t="n">
        <f aca="false">J3*(1+Assumptions!K13)</f>
        <v>20670.820520724</v>
      </c>
    </row>
    <row r="4" customFormat="false" ht="15" hidden="false" customHeight="false" outlineLevel="0" collapsed="false">
      <c r="A4" s="20" t="s">
        <v>79</v>
      </c>
      <c r="C4" s="21" t="n">
        <f aca="false">C3/B3-1</f>
        <v>0.0588877623366653</v>
      </c>
      <c r="D4" s="21" t="n">
        <f aca="false">D3/C3-1</f>
        <v>0.0758133859039418</v>
      </c>
      <c r="E4" s="21" t="n">
        <f aca="false">E3/D3-1</f>
        <v>0.0128256910466857</v>
      </c>
      <c r="F4" s="21" t="n">
        <f aca="false">F3/E3-1</f>
        <v>0.0501046716176738</v>
      </c>
      <c r="G4" s="21" t="n">
        <f aca="false">G3/F3-1</f>
        <v>0.0800000000000001</v>
      </c>
      <c r="H4" s="21" t="n">
        <f aca="false">H3/G3-1</f>
        <v>0.0900000000000001</v>
      </c>
      <c r="I4" s="21" t="n">
        <f aca="false">I3/H3-1</f>
        <v>0.1</v>
      </c>
      <c r="J4" s="21" t="n">
        <f aca="false">J3/I3-1</f>
        <v>0.1</v>
      </c>
      <c r="K4" s="21" t="n">
        <f aca="false">K3/J3-1</f>
        <v>0.1</v>
      </c>
    </row>
    <row r="6" customFormat="false" ht="15" hidden="false" customHeight="false" outlineLevel="0" collapsed="false">
      <c r="A6" s="17" t="s">
        <v>80</v>
      </c>
      <c r="B6" s="18" t="n">
        <f aca="false">Assumptions!B5</f>
        <v>2164</v>
      </c>
      <c r="C6" s="18" t="n">
        <f aca="false">Assumptions!C5</f>
        <v>2254</v>
      </c>
      <c r="D6" s="18" t="n">
        <f aca="false">Assumptions!D5</f>
        <v>2400</v>
      </c>
      <c r="E6" s="18" t="n">
        <f aca="false">Assumptions!E5</f>
        <v>2317</v>
      </c>
      <c r="F6" s="18" t="n">
        <f aca="false">Assumptions!F5</f>
        <v>2507</v>
      </c>
      <c r="G6" s="19" t="n">
        <f aca="false">G3*Assumptions!G14</f>
        <v>2778.355242</v>
      </c>
      <c r="H6" s="19" t="n">
        <f aca="false">H3*Assumptions!H14</f>
        <v>3106.0586808</v>
      </c>
      <c r="I6" s="19" t="n">
        <f aca="false">I3*Assumptions!I14</f>
        <v>3502.081162602</v>
      </c>
      <c r="J6" s="19" t="n">
        <f aca="false">J3*Assumptions!J14</f>
        <v>3946.2475539564</v>
      </c>
      <c r="K6" s="19" t="n">
        <f aca="false">K3*Assumptions!K14</f>
        <v>4340.87230935204</v>
      </c>
    </row>
    <row r="7" customFormat="false" ht="15" hidden="false" customHeight="false" outlineLevel="0" collapsed="false">
      <c r="A7" s="20" t="s">
        <v>51</v>
      </c>
      <c r="B7" s="21" t="n">
        <f aca="false">B6/B3</f>
        <v>0.198738506412164</v>
      </c>
      <c r="C7" s="21" t="n">
        <f aca="false">C6/C3</f>
        <v>0.195491891076151</v>
      </c>
      <c r="D7" s="21" t="n">
        <f aca="false">D6/D3</f>
        <v>0.19348581628038</v>
      </c>
      <c r="E7" s="21" t="n">
        <f aca="false">E6/E3</f>
        <v>0.184429002395905</v>
      </c>
      <c r="F7" s="21" t="n">
        <f aca="false">F6/F3</f>
        <v>0.190031206959675</v>
      </c>
      <c r="G7" s="21" t="n">
        <f aca="false">G6/G3</f>
        <v>0.195</v>
      </c>
      <c r="H7" s="21" t="n">
        <f aca="false">H6/H3</f>
        <v>0.2</v>
      </c>
      <c r="I7" s="21" t="n">
        <f aca="false">I6/I3</f>
        <v>0.205</v>
      </c>
      <c r="J7" s="21" t="n">
        <f aca="false">J6/J3</f>
        <v>0.21</v>
      </c>
      <c r="K7" s="21" t="n">
        <f aca="false">K6/K3</f>
        <v>0.21</v>
      </c>
    </row>
    <row r="8" customFormat="false" ht="15" hidden="false" customHeight="false" outlineLevel="0" collapsed="false">
      <c r="A8" s="22" t="s">
        <v>81</v>
      </c>
      <c r="B8" s="19" t="n">
        <f aca="false">B3*Assumptions!B15</f>
        <v>250.43964</v>
      </c>
      <c r="C8" s="19" t="n">
        <f aca="false">C3*Assumptions!C15</f>
        <v>311.30703</v>
      </c>
      <c r="D8" s="19" t="n">
        <f aca="false">D3*Assumptions!D15</f>
        <v>384.52431</v>
      </c>
      <c r="E8" s="19" t="n">
        <f aca="false">E3*Assumptions!E15</f>
        <v>439.7085</v>
      </c>
      <c r="F8" s="19" t="n">
        <f aca="false">F3*Assumptions!F15</f>
        <v>474.93252</v>
      </c>
      <c r="G8" s="19" t="n">
        <f aca="false">G3*Assumptions!G15</f>
        <v>512.9271216</v>
      </c>
      <c r="H8" s="19" t="n">
        <f aca="false">H3*Assumptions!H15</f>
        <v>559.090562544</v>
      </c>
      <c r="I8" s="19" t="n">
        <f aca="false">I3*Assumptions!I15</f>
        <v>614.9996187984</v>
      </c>
      <c r="J8" s="19" t="n">
        <f aca="false">J3*Assumptions!J15</f>
        <v>676.49958067824</v>
      </c>
      <c r="K8" s="19" t="n">
        <f aca="false">K3*Assumptions!K15</f>
        <v>744.149538746064</v>
      </c>
    </row>
    <row r="9" customFormat="false" ht="15" hidden="false" customHeight="false" outlineLevel="0" collapsed="false">
      <c r="A9" s="17" t="s">
        <v>82</v>
      </c>
      <c r="B9" s="19" t="n">
        <f aca="false">B6-B8</f>
        <v>1913.56036</v>
      </c>
      <c r="C9" s="19" t="n">
        <f aca="false">C6-C8</f>
        <v>1942.69297</v>
      </c>
      <c r="D9" s="19" t="n">
        <f aca="false">D6-D8</f>
        <v>2015.47569</v>
      </c>
      <c r="E9" s="19" t="n">
        <f aca="false">E6-E8</f>
        <v>1877.2915</v>
      </c>
      <c r="F9" s="19" t="n">
        <f aca="false">F6-F8</f>
        <v>2032.06748</v>
      </c>
      <c r="G9" s="19" t="n">
        <f aca="false">G6-G8</f>
        <v>2265.4281204</v>
      </c>
      <c r="H9" s="19" t="n">
        <f aca="false">H6-H8</f>
        <v>2546.968118256</v>
      </c>
      <c r="I9" s="19" t="n">
        <f aca="false">I6-I8</f>
        <v>2887.0815438036</v>
      </c>
      <c r="J9" s="19" t="n">
        <f aca="false">J6-J8</f>
        <v>3269.74797327816</v>
      </c>
      <c r="K9" s="19" t="n">
        <f aca="false">K6-K8</f>
        <v>3596.72277060598</v>
      </c>
    </row>
    <row r="10" customFormat="false" ht="15" hidden="false" customHeight="false" outlineLevel="0" collapsed="false">
      <c r="A10" s="22" t="s">
        <v>83</v>
      </c>
      <c r="B10" s="12" t="n">
        <v>350</v>
      </c>
      <c r="C10" s="19" t="n">
        <f aca="false">B10*1.08</f>
        <v>378</v>
      </c>
      <c r="D10" s="19" t="n">
        <f aca="false">C10*1.08</f>
        <v>408.24</v>
      </c>
      <c r="E10" s="19" t="n">
        <f aca="false">D10*1.08</f>
        <v>440.8992</v>
      </c>
      <c r="F10" s="19" t="n">
        <f aca="false">E10*1.08</f>
        <v>476.171136</v>
      </c>
      <c r="G10" s="19" t="n">
        <f aca="false">F10*1.08</f>
        <v>514.26482688</v>
      </c>
      <c r="H10" s="19" t="n">
        <f aca="false">G10*1.08</f>
        <v>555.4060130304</v>
      </c>
      <c r="I10" s="19" t="n">
        <f aca="false">H10*1.08</f>
        <v>599.838494072832</v>
      </c>
      <c r="J10" s="19" t="n">
        <f aca="false">I10*1.08</f>
        <v>647.825573598659</v>
      </c>
      <c r="K10" s="19" t="n">
        <f aca="false">J10*1.08</f>
        <v>699.651619486552</v>
      </c>
    </row>
    <row r="11" customFormat="false" ht="15" hidden="false" customHeight="false" outlineLevel="0" collapsed="false">
      <c r="A11" s="22" t="s">
        <v>84</v>
      </c>
      <c r="B11" s="12" t="n">
        <v>45</v>
      </c>
      <c r="C11" s="19" t="n">
        <f aca="false">B11*1.05</f>
        <v>47.25</v>
      </c>
      <c r="D11" s="19" t="n">
        <f aca="false">C11*1.05</f>
        <v>49.6125</v>
      </c>
      <c r="E11" s="19" t="n">
        <f aca="false">D11*1.05</f>
        <v>52.093125</v>
      </c>
      <c r="F11" s="19" t="n">
        <f aca="false">E11*1.05</f>
        <v>54.69778125</v>
      </c>
      <c r="G11" s="19" t="n">
        <f aca="false">F11*1.05</f>
        <v>57.4326703125</v>
      </c>
      <c r="H11" s="19" t="n">
        <f aca="false">G11*1.05</f>
        <v>60.304303828125</v>
      </c>
      <c r="I11" s="19" t="n">
        <f aca="false">H11*1.05</f>
        <v>63.3195190195313</v>
      </c>
      <c r="J11" s="19" t="n">
        <f aca="false">I11*1.05</f>
        <v>66.4854949705078</v>
      </c>
      <c r="K11" s="19" t="n">
        <f aca="false">J11*1.05</f>
        <v>69.8097697190332</v>
      </c>
    </row>
    <row r="12" customFormat="false" ht="15" hidden="false" customHeight="false" outlineLevel="0" collapsed="false">
      <c r="A12" s="17" t="s">
        <v>85</v>
      </c>
      <c r="B12" s="19" t="n">
        <f aca="false">B9+B10-B11</f>
        <v>2218.56036</v>
      </c>
      <c r="C12" s="19" t="n">
        <f aca="false">C9+C10-C11</f>
        <v>2273.44297</v>
      </c>
      <c r="D12" s="19" t="n">
        <f aca="false">D9+D10-D11</f>
        <v>2374.10319</v>
      </c>
      <c r="E12" s="19" t="n">
        <f aca="false">E9+E10-E11</f>
        <v>2266.097575</v>
      </c>
      <c r="F12" s="19" t="n">
        <f aca="false">F9+F10-F11</f>
        <v>2453.54083475</v>
      </c>
      <c r="G12" s="19" t="n">
        <f aca="false">G9+G10-G11</f>
        <v>2722.2602769675</v>
      </c>
      <c r="H12" s="19" t="n">
        <f aca="false">H9+H10-H11</f>
        <v>3042.06982745828</v>
      </c>
      <c r="I12" s="19" t="n">
        <f aca="false">I9+I10-I11</f>
        <v>3423.6005188569</v>
      </c>
      <c r="J12" s="19" t="n">
        <f aca="false">J9+J10-J11</f>
        <v>3851.08805190631</v>
      </c>
      <c r="K12" s="19" t="n">
        <f aca="false">K9+K10-K11</f>
        <v>4226.5646203735</v>
      </c>
    </row>
    <row r="13" customFormat="false" ht="15" hidden="false" customHeight="false" outlineLevel="0" collapsed="false">
      <c r="A13" s="22" t="s">
        <v>86</v>
      </c>
      <c r="B13" s="18" t="n">
        <f aca="false">B12-Assumptions!B6</f>
        <v>474.56036</v>
      </c>
      <c r="C13" s="18" t="n">
        <f aca="false">C12-Assumptions!C6</f>
        <v>566.29297</v>
      </c>
      <c r="D13" s="18" t="n">
        <f aca="false">D12-Assumptions!D6</f>
        <v>531.42319</v>
      </c>
      <c r="E13" s="18" t="n">
        <f aca="false">E12-Assumptions!E6</f>
        <v>498.097575</v>
      </c>
      <c r="F13" s="18" t="n">
        <f aca="false">F12-Assumptions!F6</f>
        <v>584.85083475</v>
      </c>
      <c r="G13" s="19" t="n">
        <f aca="false">G12*Assumptions!G16</f>
        <v>626.119863702525</v>
      </c>
      <c r="H13" s="19" t="n">
        <f aca="false">H12*Assumptions!H16</f>
        <v>699.676060315403</v>
      </c>
      <c r="I13" s="19" t="n">
        <f aca="false">I12*Assumptions!I16</f>
        <v>787.428119337087</v>
      </c>
      <c r="J13" s="19" t="n">
        <f aca="false">J12*Assumptions!J16</f>
        <v>885.750251938452</v>
      </c>
      <c r="K13" s="19" t="n">
        <f aca="false">K12*Assumptions!K16</f>
        <v>972.109862685904</v>
      </c>
    </row>
    <row r="14" customFormat="false" ht="15" hidden="false" customHeight="false" outlineLevel="0" collapsed="false">
      <c r="A14" s="17" t="s">
        <v>87</v>
      </c>
      <c r="B14" s="18" t="n">
        <f aca="false">Assumptions!B6</f>
        <v>1744</v>
      </c>
      <c r="C14" s="18" t="n">
        <f aca="false">Assumptions!C6</f>
        <v>1707.15</v>
      </c>
      <c r="D14" s="18" t="n">
        <f aca="false">Assumptions!D6</f>
        <v>1842.68</v>
      </c>
      <c r="E14" s="18" t="n">
        <f aca="false">Assumptions!E6</f>
        <v>1768</v>
      </c>
      <c r="F14" s="18" t="n">
        <f aca="false">Assumptions!F6</f>
        <v>1868.69</v>
      </c>
      <c r="G14" s="19" t="n">
        <f aca="false">G12-G13</f>
        <v>2096.14041326498</v>
      </c>
      <c r="H14" s="19" t="n">
        <f aca="false">H12-H13</f>
        <v>2342.39376714287</v>
      </c>
      <c r="I14" s="19" t="n">
        <f aca="false">I12-I13</f>
        <v>2636.17239951981</v>
      </c>
      <c r="J14" s="19" t="n">
        <f aca="false">J12-J13</f>
        <v>2965.33779996786</v>
      </c>
      <c r="K14" s="19" t="n">
        <f aca="false">K12-K13</f>
        <v>3254.45475768759</v>
      </c>
    </row>
    <row r="15" customFormat="false" ht="15" hidden="false" customHeight="false" outlineLevel="0" collapsed="false">
      <c r="A15" s="22" t="s">
        <v>88</v>
      </c>
      <c r="B15" s="23" t="n">
        <f aca="false">B14/Assumptions!$B$30</f>
        <v>9.84032048750212</v>
      </c>
      <c r="C15" s="23" t="n">
        <f aca="false">C14/Assumptions!$B$30</f>
        <v>9.63239857811883</v>
      </c>
      <c r="D15" s="23" t="n">
        <f aca="false">D14/Assumptions!$B$30</f>
        <v>10.3971110985725</v>
      </c>
      <c r="E15" s="23" t="n">
        <f aca="false">E14/Assumptions!$B$30</f>
        <v>9.97573774191728</v>
      </c>
      <c r="F15" s="23" t="n">
        <f aca="false">F14/Assumptions!$B$30</f>
        <v>10.5438695480449</v>
      </c>
      <c r="G15" s="23" t="n">
        <f aca="false">G14/Assumptions!$B$30</f>
        <v>11.827232484709</v>
      </c>
      <c r="H15" s="23" t="n">
        <f aca="false">H14/Assumptions!$B$30</f>
        <v>13.216688862737</v>
      </c>
      <c r="I15" s="23" t="n">
        <f aca="false">I14/Assumptions!$B$30</f>
        <v>14.874301187834</v>
      </c>
      <c r="J15" s="23" t="n">
        <f aca="false">J14/Assumptions!$B$30</f>
        <v>16.7315793035483</v>
      </c>
      <c r="K15" s="23" t="n">
        <f aca="false">K14/Assumptions!$B$30</f>
        <v>18.3628886626846</v>
      </c>
    </row>
    <row r="16" customFormat="false" ht="15" hidden="false" customHeight="false" outlineLevel="0" collapsed="false">
      <c r="A16" s="22" t="s">
        <v>89</v>
      </c>
      <c r="B16" s="19" t="n">
        <f aca="false">B14*Assumptions!B22</f>
        <v>0</v>
      </c>
      <c r="C16" s="19" t="n">
        <f aca="false">C14*Assumptions!C22</f>
        <v>0</v>
      </c>
      <c r="D16" s="19" t="n">
        <f aca="false">D14*Assumptions!D22</f>
        <v>0</v>
      </c>
      <c r="E16" s="19" t="n">
        <f aca="false">E14*Assumptions!E22</f>
        <v>0</v>
      </c>
      <c r="F16" s="19" t="n">
        <f aca="false">F14*Assumptions!F22</f>
        <v>0</v>
      </c>
      <c r="G16" s="19" t="n">
        <f aca="false">G14*Assumptions!G22</f>
        <v>1152.87722729574</v>
      </c>
      <c r="H16" s="19" t="n">
        <f aca="false">H14*Assumptions!H22</f>
        <v>1288.31657192858</v>
      </c>
      <c r="I16" s="19" t="n">
        <f aca="false">I14*Assumptions!I22</f>
        <v>1449.8948197359</v>
      </c>
      <c r="J16" s="19" t="n">
        <f aca="false">J14*Assumptions!J22</f>
        <v>1630.93578998232</v>
      </c>
      <c r="K16" s="19" t="n">
        <f aca="false">K14*Assumptions!K22</f>
        <v>1789.95011672818</v>
      </c>
    </row>
    <row r="17" customFormat="false" ht="15" hidden="false" customHeight="false" outlineLevel="0" collapsed="false">
      <c r="A17" s="22" t="s">
        <v>90</v>
      </c>
      <c r="B17" s="19" t="n">
        <f aca="false">B14-B16</f>
        <v>1744</v>
      </c>
      <c r="C17" s="19" t="n">
        <f aca="false">C14-C16</f>
        <v>1707.15</v>
      </c>
      <c r="D17" s="19" t="n">
        <f aca="false">D14-D16</f>
        <v>1842.68</v>
      </c>
      <c r="E17" s="19" t="n">
        <f aca="false">E14-E16</f>
        <v>1768</v>
      </c>
      <c r="F17" s="19" t="n">
        <f aca="false">F14-F16</f>
        <v>1868.69</v>
      </c>
      <c r="G17" s="19" t="n">
        <f aca="false">G14-G16</f>
        <v>943.263185969239</v>
      </c>
      <c r="H17" s="19" t="n">
        <f aca="false">H14-H16</f>
        <v>1054.07719521429</v>
      </c>
      <c r="I17" s="19" t="n">
        <f aca="false">I14-I16</f>
        <v>1186.27757978392</v>
      </c>
      <c r="J17" s="19" t="n">
        <f aca="false">J14-J16</f>
        <v>1334.40200998554</v>
      </c>
      <c r="K17" s="19" t="n">
        <f aca="false">K14-K16</f>
        <v>1464.50464095942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0"/>
    <col collapsed="false" customWidth="true" hidden="false" outlineLevel="0" max="11" min="2" style="0" width="11"/>
  </cols>
  <sheetData>
    <row r="1" customFormat="false" ht="15" hidden="false" customHeight="false" outlineLevel="0" collapsed="false">
      <c r="A1" s="9" t="s">
        <v>22</v>
      </c>
      <c r="B1" s="9" t="s">
        <v>23</v>
      </c>
      <c r="C1" s="9" t="s">
        <v>24</v>
      </c>
      <c r="D1" s="9" t="s">
        <v>25</v>
      </c>
      <c r="E1" s="9" t="s">
        <v>26</v>
      </c>
      <c r="F1" s="9" t="s">
        <v>27</v>
      </c>
      <c r="G1" s="9" t="s">
        <v>28</v>
      </c>
      <c r="H1" s="9" t="s">
        <v>29</v>
      </c>
      <c r="I1" s="9" t="s">
        <v>30</v>
      </c>
      <c r="J1" s="9" t="s">
        <v>31</v>
      </c>
      <c r="K1" s="9" t="s">
        <v>32</v>
      </c>
    </row>
    <row r="3" customFormat="false" ht="15" hidden="false" customHeight="false" outlineLevel="0" collapsed="false">
      <c r="A3" s="10" t="s">
        <v>91</v>
      </c>
      <c r="B3" s="11"/>
      <c r="C3" s="11"/>
      <c r="D3" s="11"/>
      <c r="E3" s="11"/>
      <c r="F3" s="11"/>
      <c r="G3" s="11"/>
      <c r="H3" s="11"/>
      <c r="I3" s="11"/>
      <c r="J3" s="11"/>
      <c r="K3" s="11"/>
    </row>
    <row r="4" customFormat="false" ht="15" hidden="false" customHeight="false" outlineLevel="0" collapsed="false">
      <c r="A4" s="22" t="s">
        <v>92</v>
      </c>
      <c r="B4" s="12" t="n">
        <v>3900</v>
      </c>
      <c r="C4" s="12" t="n">
        <v>4150</v>
      </c>
      <c r="D4" s="12" t="n">
        <v>4450</v>
      </c>
      <c r="E4" s="12" t="n">
        <v>4750</v>
      </c>
      <c r="F4" s="12" t="n">
        <v>5100</v>
      </c>
      <c r="G4" s="18" t="n">
        <f aca="false">F4+'Income Statement'!G3*Assumptions!G18-'Income Statement'!G8</f>
        <v>5228.2317804</v>
      </c>
      <c r="H4" s="18" t="n">
        <f aca="false">G4+'Income Statement'!H3*Assumptions!H18-'Income Statement'!H8</f>
        <v>5368.004421036</v>
      </c>
      <c r="I4" s="18" t="n">
        <f aca="false">H4+'Income Statement'!I3*Assumptions!I18-'Income Statement'!I8</f>
        <v>5521.7543257356</v>
      </c>
      <c r="J4" s="18" t="n">
        <f aca="false">I4+'Income Statement'!J3*Assumptions!J18-'Income Statement'!J8</f>
        <v>5690.87922090516</v>
      </c>
      <c r="K4" s="18" t="n">
        <f aca="false">J4+'Income Statement'!K3*Assumptions!K18-'Income Statement'!K8</f>
        <v>5876.91660559168</v>
      </c>
    </row>
    <row r="5" customFormat="false" ht="15" hidden="false" customHeight="false" outlineLevel="0" collapsed="false">
      <c r="A5" s="22" t="s">
        <v>93</v>
      </c>
      <c r="B5" s="12" t="n">
        <v>2800</v>
      </c>
      <c r="C5" s="12" t="n">
        <v>3100</v>
      </c>
      <c r="D5" s="12" t="n">
        <v>3450</v>
      </c>
      <c r="E5" s="12" t="n">
        <v>3900</v>
      </c>
      <c r="F5" s="12" t="n">
        <v>4300</v>
      </c>
      <c r="G5" s="18" t="n">
        <f aca="false">F5+'Cash Flow Statement'!G6</f>
        <v>4963.49029847335</v>
      </c>
      <c r="H5" s="18" t="n">
        <f aca="false">G5+'Cash Flow Statement'!H6</f>
        <v>5686.3520657037</v>
      </c>
      <c r="I5" s="18" t="n">
        <f aca="false">H5+'Cash Flow Statement'!I6</f>
        <v>6479.87364382229</v>
      </c>
      <c r="J5" s="18" t="n">
        <f aca="false">I5+'Cash Flow Statement'!J6</f>
        <v>7380.53479963479</v>
      </c>
      <c r="K5" s="18" t="n">
        <f aca="false">J5+'Cash Flow Statement'!K6</f>
        <v>8350.7101257168</v>
      </c>
    </row>
    <row r="6" customFormat="false" ht="15" hidden="false" customHeight="false" outlineLevel="0" collapsed="false">
      <c r="A6" s="22" t="s">
        <v>94</v>
      </c>
      <c r="B6" s="18" t="n">
        <f aca="false">'Income Statement'!B3*(Assumptions!$G$19+Assumptions!$G$20)/365*1.15</f>
        <v>5969.3832</v>
      </c>
      <c r="C6" s="18" t="n">
        <f aca="false">'Income Statement'!C3*(Assumptions!$G$19+Assumptions!$G$20)/365*1.15</f>
        <v>6320.90681917808</v>
      </c>
      <c r="D6" s="18" t="n">
        <f aca="false">'Income Statement'!D3*(Assumptions!$G$19+Assumptions!$G$20)/365*1.15</f>
        <v>6800.11616712329</v>
      </c>
      <c r="E6" s="18" t="n">
        <f aca="false">'Income Statement'!E3*(Assumptions!$G$19+Assumptions!$G$20)/365*1.15</f>
        <v>6887.33235616438</v>
      </c>
      <c r="F6" s="18" t="n">
        <f aca="false">'Income Statement'!F3*(Assumptions!$G$19+Assumptions!$G$20)/365*1.15</f>
        <v>7232.41988219178</v>
      </c>
      <c r="G6" s="18" t="n">
        <f aca="false">'Income Statement'!G3*(Assumptions!G19+Assumptions!G20)/365</f>
        <v>6792.18562849315</v>
      </c>
      <c r="H6" s="18" t="n">
        <f aca="false">'Income Statement'!H3*(Assumptions!H19+Assumptions!H20)/365</f>
        <v>7403.48233505753</v>
      </c>
      <c r="I6" s="18" t="n">
        <f aca="false">'Income Statement'!I3*(Assumptions!I19+Assumptions!I20)/365</f>
        <v>8143.83056856329</v>
      </c>
      <c r="J6" s="18" t="n">
        <f aca="false">'Income Statement'!J3*(Assumptions!J19+Assumptions!J20)/365</f>
        <v>8958.21362541962</v>
      </c>
      <c r="K6" s="18" t="n">
        <f aca="false">'Income Statement'!K3*(Assumptions!K19+Assumptions!K20)/365</f>
        <v>9854.03498796158</v>
      </c>
    </row>
    <row r="7" customFormat="false" ht="15" hidden="false" customHeight="false" outlineLevel="0" collapsed="false">
      <c r="A7" s="17" t="s">
        <v>95</v>
      </c>
      <c r="B7" s="24" t="n">
        <f aca="false">B4+B5+B6</f>
        <v>12669.3832</v>
      </c>
      <c r="C7" s="24" t="n">
        <f aca="false">C4+C5+C6</f>
        <v>13570.9068191781</v>
      </c>
      <c r="D7" s="24" t="n">
        <f aca="false">D4+D5+D6</f>
        <v>14700.1161671233</v>
      </c>
      <c r="E7" s="24" t="n">
        <f aca="false">E4+E5+E6</f>
        <v>15537.3323561644</v>
      </c>
      <c r="F7" s="24" t="n">
        <f aca="false">F4+F5+F6</f>
        <v>16632.4198821918</v>
      </c>
      <c r="G7" s="24" t="n">
        <f aca="false">G4+G5+G6</f>
        <v>16983.9077073665</v>
      </c>
      <c r="H7" s="24" t="n">
        <f aca="false">H4+H5+H6</f>
        <v>18457.8388217972</v>
      </c>
      <c r="I7" s="24" t="n">
        <f aca="false">I4+I5+I6</f>
        <v>20145.4585381212</v>
      </c>
      <c r="J7" s="24" t="n">
        <f aca="false">J4+J5+J6</f>
        <v>22029.6276459596</v>
      </c>
      <c r="K7" s="24" t="n">
        <f aca="false">K4+K5+K6</f>
        <v>24081.6617192701</v>
      </c>
    </row>
    <row r="9" customFormat="false" ht="15" hidden="false" customHeight="false" outlineLevel="0" collapsed="false">
      <c r="A9" s="10" t="s">
        <v>96</v>
      </c>
      <c r="B9" s="11"/>
      <c r="C9" s="11"/>
      <c r="D9" s="11"/>
      <c r="E9" s="11"/>
      <c r="F9" s="11"/>
      <c r="G9" s="11"/>
      <c r="H9" s="11"/>
      <c r="I9" s="11"/>
      <c r="J9" s="11"/>
      <c r="K9" s="11"/>
    </row>
    <row r="10" customFormat="false" ht="15" hidden="false" customHeight="false" outlineLevel="0" collapsed="false">
      <c r="A10" s="22" t="s">
        <v>97</v>
      </c>
      <c r="B10" s="12" t="n">
        <v>177.23</v>
      </c>
      <c r="C10" s="12" t="n">
        <v>177.23</v>
      </c>
      <c r="D10" s="12" t="n">
        <v>177.23</v>
      </c>
      <c r="E10" s="12" t="n">
        <v>177.23</v>
      </c>
      <c r="F10" s="12" t="n">
        <v>177.23</v>
      </c>
      <c r="G10" s="19" t="n">
        <f aca="false">F10</f>
        <v>177.23</v>
      </c>
      <c r="H10" s="19" t="n">
        <f aca="false">G10</f>
        <v>177.23</v>
      </c>
      <c r="I10" s="19" t="n">
        <f aca="false">H10</f>
        <v>177.23</v>
      </c>
      <c r="J10" s="19" t="n">
        <f aca="false">I10</f>
        <v>177.23</v>
      </c>
      <c r="K10" s="19" t="n">
        <f aca="false">J10</f>
        <v>177.23</v>
      </c>
    </row>
    <row r="11" customFormat="false" ht="15" hidden="false" customHeight="false" outlineLevel="0" collapsed="false">
      <c r="A11" s="22" t="s">
        <v>98</v>
      </c>
      <c r="B11" s="18" t="n">
        <f aca="false">7380-B10</f>
        <v>7202.77</v>
      </c>
      <c r="C11" s="18" t="n">
        <f aca="false">8381-C10</f>
        <v>8203.77</v>
      </c>
      <c r="D11" s="18" t="n">
        <f aca="false">8973-D10</f>
        <v>8795.77</v>
      </c>
      <c r="E11" s="18" t="n">
        <f aca="false">10801-E10</f>
        <v>10623.77</v>
      </c>
      <c r="F11" s="18" t="n">
        <f aca="false">12000-F10</f>
        <v>11822.77</v>
      </c>
      <c r="G11" s="18" t="n">
        <f aca="false">F11+'Income Statement'!G17</f>
        <v>12766.0331859692</v>
      </c>
      <c r="H11" s="18" t="n">
        <f aca="false">G11+'Income Statement'!H17</f>
        <v>13820.1103811835</v>
      </c>
      <c r="I11" s="18" t="n">
        <f aca="false">H11+'Income Statement'!I17</f>
        <v>15006.3879609674</v>
      </c>
      <c r="J11" s="18" t="n">
        <f aca="false">I11+'Income Statement'!J17</f>
        <v>16340.789970953</v>
      </c>
      <c r="K11" s="18" t="n">
        <f aca="false">J11+'Income Statement'!K17</f>
        <v>17805.2946119124</v>
      </c>
    </row>
    <row r="12" customFormat="false" ht="15" hidden="false" customHeight="false" outlineLevel="0" collapsed="false">
      <c r="A12" s="17" t="s">
        <v>99</v>
      </c>
      <c r="B12" s="24" t="n">
        <f aca="false">B10+B11</f>
        <v>7380</v>
      </c>
      <c r="C12" s="24" t="n">
        <f aca="false">C10+C11</f>
        <v>8381</v>
      </c>
      <c r="D12" s="24" t="n">
        <f aca="false">D10+D11</f>
        <v>8973</v>
      </c>
      <c r="E12" s="24" t="n">
        <f aca="false">E10+E11</f>
        <v>10801</v>
      </c>
      <c r="F12" s="24" t="n">
        <f aca="false">F10+F11</f>
        <v>12000</v>
      </c>
      <c r="G12" s="24" t="n">
        <f aca="false">G10+G11</f>
        <v>12943.2631859692</v>
      </c>
      <c r="H12" s="24" t="n">
        <f aca="false">H10+H11</f>
        <v>13997.3403811835</v>
      </c>
      <c r="I12" s="24" t="n">
        <f aca="false">I10+I11</f>
        <v>15183.6179609674</v>
      </c>
      <c r="J12" s="24" t="n">
        <f aca="false">J10+J11</f>
        <v>16518.019970953</v>
      </c>
      <c r="K12" s="24" t="n">
        <f aca="false">K10+K11</f>
        <v>17982.5246119124</v>
      </c>
    </row>
    <row r="13" customFormat="false" ht="15" hidden="false" customHeight="false" outlineLevel="0" collapsed="false">
      <c r="A13" s="22" t="s">
        <v>100</v>
      </c>
      <c r="B13" s="12" t="n">
        <v>1550</v>
      </c>
      <c r="C13" s="12" t="n">
        <v>1650</v>
      </c>
      <c r="D13" s="12" t="n">
        <v>1700</v>
      </c>
      <c r="E13" s="12" t="n">
        <v>1750</v>
      </c>
      <c r="F13" s="12" t="n">
        <v>1800</v>
      </c>
      <c r="G13" s="19" t="n">
        <f aca="false">F13*1.02</f>
        <v>1836</v>
      </c>
      <c r="H13" s="19" t="n">
        <f aca="false">G13*1.02</f>
        <v>1872.72</v>
      </c>
      <c r="I13" s="19" t="n">
        <f aca="false">H13*1.02</f>
        <v>1910.1744</v>
      </c>
      <c r="J13" s="19" t="n">
        <f aca="false">I13*1.02</f>
        <v>1948.377888</v>
      </c>
      <c r="K13" s="19" t="n">
        <f aca="false">J13*1.02</f>
        <v>1987.34544576</v>
      </c>
    </row>
    <row r="14" customFormat="false" ht="15" hidden="false" customHeight="false" outlineLevel="0" collapsed="false">
      <c r="A14" s="22" t="s">
        <v>101</v>
      </c>
      <c r="B14" s="19" t="n">
        <f aca="false">B7-B12-B13</f>
        <v>3739.3832</v>
      </c>
      <c r="C14" s="19" t="n">
        <f aca="false">C7-C12-C13</f>
        <v>3539.90681917808</v>
      </c>
      <c r="D14" s="19" t="n">
        <f aca="false">D7-D12-D13</f>
        <v>4027.11616712329</v>
      </c>
      <c r="E14" s="19" t="n">
        <f aca="false">E7-E12-E13</f>
        <v>2986.33235616438</v>
      </c>
      <c r="F14" s="19" t="n">
        <f aca="false">F7-F12-F13</f>
        <v>2832.41988219178</v>
      </c>
      <c r="G14" s="19" t="n">
        <f aca="false">G7-G12-G13</f>
        <v>2204.64452139726</v>
      </c>
      <c r="H14" s="19" t="n">
        <f aca="false">H7-H12-H13</f>
        <v>2587.7784406137</v>
      </c>
      <c r="I14" s="19" t="n">
        <f aca="false">I7-I12-I13</f>
        <v>3051.66617715373</v>
      </c>
      <c r="J14" s="19" t="n">
        <f aca="false">J7-J12-J13</f>
        <v>3563.22978700658</v>
      </c>
      <c r="K14" s="19" t="n">
        <f aca="false">K7-K12-K13</f>
        <v>4111.79166159765</v>
      </c>
    </row>
    <row r="15" customFormat="false" ht="15" hidden="false" customHeight="false" outlineLevel="0" collapsed="false">
      <c r="A15" s="17" t="s">
        <v>102</v>
      </c>
      <c r="B15" s="24" t="n">
        <f aca="false">B12+B13+B14</f>
        <v>12669.3832</v>
      </c>
      <c r="C15" s="24" t="n">
        <f aca="false">C12+C13+C14</f>
        <v>13570.9068191781</v>
      </c>
      <c r="D15" s="24" t="n">
        <f aca="false">D12+D13+D14</f>
        <v>14700.1161671233</v>
      </c>
      <c r="E15" s="24" t="n">
        <f aca="false">E12+E13+E14</f>
        <v>15537.3323561644</v>
      </c>
      <c r="F15" s="24" t="n">
        <f aca="false">F12+F13+F14</f>
        <v>16632.4198821918</v>
      </c>
      <c r="G15" s="24" t="n">
        <f aca="false">G12+G13+G14</f>
        <v>16983.9077073665</v>
      </c>
      <c r="H15" s="24" t="n">
        <f aca="false">H12+H13+H14</f>
        <v>18457.8388217972</v>
      </c>
      <c r="I15" s="24" t="n">
        <f aca="false">I12+I13+I14</f>
        <v>20145.4585381212</v>
      </c>
      <c r="J15" s="24" t="n">
        <f aca="false">J12+J13+J14</f>
        <v>22029.6276459596</v>
      </c>
      <c r="K15" s="24" t="n">
        <f aca="false">K12+K13+K14</f>
        <v>24081.6617192701</v>
      </c>
    </row>
    <row r="16" customFormat="false" ht="15" hidden="false" customHeight="false" outlineLevel="0" collapsed="false">
      <c r="A16" s="20" t="s">
        <v>103</v>
      </c>
      <c r="B16" s="19" t="n">
        <f aca="false">B7-B15</f>
        <v>0</v>
      </c>
      <c r="C16" s="19" t="n">
        <f aca="false">C7-C15</f>
        <v>0</v>
      </c>
      <c r="D16" s="19" t="n">
        <f aca="false">D7-D15</f>
        <v>0</v>
      </c>
      <c r="E16" s="19" t="n">
        <f aca="false">E7-E15</f>
        <v>0</v>
      </c>
      <c r="F16" s="19" t="n">
        <f aca="false">F7-F15</f>
        <v>0</v>
      </c>
      <c r="G16" s="19" t="n">
        <f aca="false">G7-G15</f>
        <v>0</v>
      </c>
      <c r="H16" s="19" t="n">
        <f aca="false">H7-H15</f>
        <v>0</v>
      </c>
      <c r="I16" s="19" t="n">
        <f aca="false">I7-I15</f>
        <v>0</v>
      </c>
      <c r="J16" s="19" t="n">
        <f aca="false">J7-J15</f>
        <v>0</v>
      </c>
      <c r="K16" s="19" t="n">
        <f aca="false">K7-K15</f>
        <v>0</v>
      </c>
    </row>
    <row r="18" customFormat="false" ht="15" hidden="false" customHeight="false" outlineLevel="0" collapsed="false">
      <c r="A18" s="10" t="s">
        <v>104</v>
      </c>
      <c r="B18" s="11"/>
      <c r="C18" s="11"/>
      <c r="D18" s="11"/>
      <c r="E18" s="11"/>
      <c r="F18" s="11"/>
      <c r="G18" s="11"/>
      <c r="H18" s="11"/>
      <c r="I18" s="11"/>
      <c r="J18" s="11"/>
      <c r="K18" s="11"/>
    </row>
    <row r="19" customFormat="false" ht="15" hidden="false" customHeight="false" outlineLevel="0" collapsed="false">
      <c r="A19" s="22" t="s">
        <v>105</v>
      </c>
      <c r="B19" s="18" t="n">
        <f aca="false">'Income Statement'!B3*Assumptions!$G$19/365</f>
        <v>715.968</v>
      </c>
      <c r="C19" s="18" t="n">
        <f aca="false">'Income Statement'!C3*Assumptions!$G$19/365</f>
        <v>758.129753424658</v>
      </c>
      <c r="D19" s="18" t="n">
        <f aca="false">'Income Statement'!D3*Assumptions!$G$19/365</f>
        <v>815.606136986301</v>
      </c>
      <c r="E19" s="18" t="n">
        <f aca="false">'Income Statement'!E3*Assumptions!$G$19/365</f>
        <v>826.066849315069</v>
      </c>
      <c r="F19" s="18" t="n">
        <f aca="false">'Income Statement'!F3*Assumptions!$G$19/365</f>
        <v>867.456657534247</v>
      </c>
      <c r="G19" s="18" t="n">
        <f aca="false">'Income Statement'!G3*Assumptions!$G$19/365</f>
        <v>936.853190136986</v>
      </c>
      <c r="H19" s="18" t="n">
        <f aca="false">'Income Statement'!H3*Assumptions!$G$19/365</f>
        <v>1021.16997724932</v>
      </c>
      <c r="I19" s="18" t="n">
        <f aca="false">'Income Statement'!I3*Assumptions!$G$19/365</f>
        <v>1123.28697497425</v>
      </c>
      <c r="J19" s="18" t="n">
        <f aca="false">'Income Statement'!J3*Assumptions!$G$19/365</f>
        <v>1235.61567247167</v>
      </c>
      <c r="K19" s="18" t="n">
        <f aca="false">'Income Statement'!K3*Assumptions!$G$19/365</f>
        <v>1359.17723971884</v>
      </c>
    </row>
    <row r="20" customFormat="false" ht="15" hidden="false" customHeight="false" outlineLevel="0" collapsed="false">
      <c r="A20" s="22" t="s">
        <v>106</v>
      </c>
      <c r="B20" s="18" t="n">
        <f aca="false">('Income Statement'!B3-'Income Statement'!B6)*Assumptions!$G$20/365</f>
        <v>3585.48493150685</v>
      </c>
      <c r="C20" s="18" t="n">
        <f aca="false">('Income Statement'!C3-'Income Statement'!C6)*Assumptions!$G$20/365</f>
        <v>3812.0095890411</v>
      </c>
      <c r="D20" s="18" t="n">
        <f aca="false">('Income Statement'!D3-'Income Statement'!D6)*Assumptions!$G$20/365</f>
        <v>4111.23698630137</v>
      </c>
      <c r="E20" s="18" t="n">
        <f aca="false">('Income Statement'!E3-'Income Statement'!E6)*Assumptions!$G$20/365</f>
        <v>4210.72602739726</v>
      </c>
      <c r="F20" s="18" t="n">
        <f aca="false">('Income Statement'!F3-'Income Statement'!F6)*Assumptions!$G$20/365</f>
        <v>4391.3301369863</v>
      </c>
      <c r="G20" s="18" t="n">
        <f aca="false">('Income Statement'!G3-'Income Statement'!G6)*Assumptions!$G$20/365</f>
        <v>4713.54261287671</v>
      </c>
      <c r="H20" s="18" t="n">
        <f aca="false">('Income Statement'!H3-'Income Statement'!H6)*Assumptions!$G$20/365</f>
        <v>5105.84988624658</v>
      </c>
      <c r="I20" s="18" t="n">
        <f aca="false">('Income Statement'!I3-'Income Statement'!I6)*Assumptions!$G$20/365</f>
        <v>5581.33215690329</v>
      </c>
      <c r="J20" s="18" t="n">
        <f aca="false">('Income Statement'!J3-'Income Statement'!J6)*Assumptions!$G$20/365</f>
        <v>6100.85238282888</v>
      </c>
      <c r="K20" s="18" t="n">
        <f aca="false">('Income Statement'!K3-'Income Statement'!K6)*Assumptions!$G$20/365</f>
        <v>6710.93762111177</v>
      </c>
    </row>
    <row r="21" customFormat="false" ht="15" hidden="false" customHeight="false" outlineLevel="0" collapsed="false">
      <c r="A21" s="22" t="s">
        <v>107</v>
      </c>
      <c r="B21" s="18" t="n">
        <f aca="false">('Income Statement'!B3-'Income Statement'!B6)*Assumptions!$G$21/365</f>
        <v>2270.80712328767</v>
      </c>
      <c r="C21" s="18" t="n">
        <f aca="false">('Income Statement'!C3-'Income Statement'!C6)*Assumptions!$G$21/365</f>
        <v>2414.27273972603</v>
      </c>
      <c r="D21" s="18" t="n">
        <f aca="false">('Income Statement'!D3-'Income Statement'!D6)*Assumptions!$G$21/365</f>
        <v>2603.78342465753</v>
      </c>
      <c r="E21" s="18" t="n">
        <f aca="false">('Income Statement'!E3-'Income Statement'!E6)*Assumptions!$G$21/365</f>
        <v>2666.79315068493</v>
      </c>
      <c r="F21" s="18" t="n">
        <f aca="false">('Income Statement'!F3-'Income Statement'!F6)*Assumptions!$G$21/365</f>
        <v>2781.17575342466</v>
      </c>
      <c r="G21" s="18" t="n">
        <f aca="false">('Income Statement'!G3-'Income Statement'!G6)*Assumptions!$G$21/365</f>
        <v>2985.24365482192</v>
      </c>
      <c r="H21" s="18" t="n">
        <f aca="false">('Income Statement'!H3-'Income Statement'!H6)*Assumptions!$G$21/365</f>
        <v>3233.70492795616</v>
      </c>
      <c r="I21" s="18" t="n">
        <f aca="false">('Income Statement'!I3-'Income Statement'!I6)*Assumptions!$G$21/365</f>
        <v>3534.84369937208</v>
      </c>
      <c r="J21" s="18" t="n">
        <f aca="false">('Income Statement'!J3-'Income Statement'!J6)*Assumptions!$G$21/365</f>
        <v>3863.87317579162</v>
      </c>
      <c r="K21" s="18" t="n">
        <f aca="false">('Income Statement'!K3-'Income Statement'!K6)*Assumptions!$G$21/365</f>
        <v>4250.26049337079</v>
      </c>
    </row>
    <row r="22" customFormat="false" ht="15" hidden="false" customHeight="false" outlineLevel="0" collapsed="false">
      <c r="A22" s="17" t="s">
        <v>108</v>
      </c>
      <c r="B22" s="24" t="n">
        <f aca="false">B19+B20-B21</f>
        <v>2030.64580821918</v>
      </c>
      <c r="C22" s="24" t="n">
        <f aca="false">C19+C20-C21</f>
        <v>2155.86660273973</v>
      </c>
      <c r="D22" s="24" t="n">
        <f aca="false">D19+D20-D21</f>
        <v>2323.05969863014</v>
      </c>
      <c r="E22" s="24" t="n">
        <f aca="false">E19+E20-E21</f>
        <v>2369.9997260274</v>
      </c>
      <c r="F22" s="24" t="n">
        <f aca="false">F19+F20-F21</f>
        <v>2477.61104109589</v>
      </c>
      <c r="G22" s="24" t="n">
        <f aca="false">G19+G20-G21</f>
        <v>2665.15214819178</v>
      </c>
      <c r="H22" s="24" t="n">
        <f aca="false">H19+H20-H21</f>
        <v>2893.31493553973</v>
      </c>
      <c r="I22" s="24" t="n">
        <f aca="false">I19+I20-I21</f>
        <v>3169.77543250545</v>
      </c>
      <c r="J22" s="24" t="n">
        <f aca="false">J19+J20-J21</f>
        <v>3472.59487950893</v>
      </c>
      <c r="K22" s="24" t="n">
        <f aca="false">K19+K20-K21</f>
        <v>3819.85436745982</v>
      </c>
    </row>
    <row r="23" customFormat="false" ht="15" hidden="false" customHeight="false" outlineLevel="0" collapsed="false">
      <c r="A23" s="22" t="s">
        <v>109</v>
      </c>
      <c r="B23" s="22" t="s">
        <v>110</v>
      </c>
      <c r="C23" s="19" t="n">
        <f aca="false">C22-B22</f>
        <v>125.220794520548</v>
      </c>
      <c r="D23" s="19" t="n">
        <f aca="false">D22-C22</f>
        <v>167.19309589041</v>
      </c>
      <c r="E23" s="19" t="n">
        <f aca="false">E22-D22</f>
        <v>46.9400273972615</v>
      </c>
      <c r="F23" s="19" t="n">
        <f aca="false">F22-E22</f>
        <v>107.611315068492</v>
      </c>
      <c r="G23" s="19" t="n">
        <f aca="false">G22-F22</f>
        <v>187.54110709589</v>
      </c>
      <c r="H23" s="19" t="n">
        <f aca="false">H22-G22</f>
        <v>228.162787347945</v>
      </c>
      <c r="I23" s="19" t="n">
        <f aca="false">I22-H22</f>
        <v>276.460496965727</v>
      </c>
      <c r="J23" s="19" t="n">
        <f aca="false">J22-I22</f>
        <v>302.819447003474</v>
      </c>
      <c r="K23" s="19" t="n">
        <f aca="false">K22-J22</f>
        <v>347.259487950893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0"/>
    <col collapsed="false" customWidth="true" hidden="false" outlineLevel="0" max="11" min="2" style="0" width="11"/>
  </cols>
  <sheetData>
    <row r="1" customFormat="false" ht="15" hidden="false" customHeight="false" outlineLevel="0" collapsed="false">
      <c r="A1" s="9" t="s">
        <v>22</v>
      </c>
      <c r="B1" s="9" t="s">
        <v>23</v>
      </c>
      <c r="C1" s="9" t="s">
        <v>24</v>
      </c>
      <c r="D1" s="9" t="s">
        <v>25</v>
      </c>
      <c r="E1" s="9" t="s">
        <v>26</v>
      </c>
      <c r="F1" s="9" t="s">
        <v>27</v>
      </c>
      <c r="G1" s="9" t="s">
        <v>28</v>
      </c>
      <c r="H1" s="9" t="s">
        <v>29</v>
      </c>
      <c r="I1" s="9" t="s">
        <v>30</v>
      </c>
      <c r="J1" s="9" t="s">
        <v>31</v>
      </c>
      <c r="K1" s="9" t="s">
        <v>32</v>
      </c>
    </row>
    <row r="3" customFormat="false" ht="15" hidden="false" customHeight="false" outlineLevel="0" collapsed="false">
      <c r="A3" s="17" t="s">
        <v>111</v>
      </c>
      <c r="B3" s="18" t="n">
        <f aca="false">'Income Statement'!B14+'Income Statement'!B8</f>
        <v>1994.43964</v>
      </c>
      <c r="C3" s="18" t="n">
        <f aca="false">'Income Statement'!C14+'Income Statement'!C8-'Balance Sheet'!C23</f>
        <v>1893.23623547945</v>
      </c>
      <c r="D3" s="18" t="n">
        <f aca="false">'Income Statement'!D14+'Income Statement'!D8-'Balance Sheet'!D23</f>
        <v>2060.01121410959</v>
      </c>
      <c r="E3" s="18" t="n">
        <f aca="false">'Income Statement'!E14+'Income Statement'!E8-'Balance Sheet'!E23</f>
        <v>2160.76847260274</v>
      </c>
      <c r="F3" s="18" t="n">
        <f aca="false">'Income Statement'!F14+'Income Statement'!F8-'Balance Sheet'!F23</f>
        <v>2236.01120493151</v>
      </c>
      <c r="G3" s="18" t="n">
        <f aca="false">'Income Statement'!G14+'Income Statement'!G8-'Balance Sheet'!G23</f>
        <v>2421.52642776909</v>
      </c>
      <c r="H3" s="18" t="n">
        <f aca="false">'Income Statement'!H14+'Income Statement'!H8-'Balance Sheet'!H23</f>
        <v>2673.32154233893</v>
      </c>
      <c r="I3" s="18" t="n">
        <f aca="false">'Income Statement'!I14+'Income Statement'!I8-'Balance Sheet'!I23</f>
        <v>2974.71152135249</v>
      </c>
      <c r="J3" s="18" t="n">
        <f aca="false">'Income Statement'!J14+'Income Statement'!J8-'Balance Sheet'!J23</f>
        <v>3339.01793364263</v>
      </c>
      <c r="K3" s="18" t="n">
        <f aca="false">'Income Statement'!K14+'Income Statement'!K8-'Balance Sheet'!K23</f>
        <v>3651.34480848276</v>
      </c>
    </row>
    <row r="4" customFormat="false" ht="15" hidden="false" customHeight="false" outlineLevel="0" collapsed="false">
      <c r="A4" s="17" t="s">
        <v>112</v>
      </c>
      <c r="B4" s="18" t="n">
        <f aca="false">-'Income Statement'!B3*Assumptions!G18</f>
        <v>-489.9906</v>
      </c>
      <c r="C4" s="18" t="n">
        <f aca="false">-'Income Statement'!C3*Assumptions!G18</f>
        <v>-518.84505</v>
      </c>
      <c r="D4" s="18" t="n">
        <f aca="false">-'Income Statement'!D3*Assumptions!G18</f>
        <v>-558.18045</v>
      </c>
      <c r="E4" s="18" t="n">
        <f aca="false">-'Income Statement'!E3*Assumptions!G18</f>
        <v>-565.3395</v>
      </c>
      <c r="F4" s="18" t="n">
        <f aca="false">-'Income Statement'!F3*Assumptions!G18</f>
        <v>-593.66565</v>
      </c>
      <c r="G4" s="18" t="n">
        <f aca="false">-'Income Statement'!G3*Assumptions!G18</f>
        <v>-641.158902</v>
      </c>
      <c r="H4" s="18" t="n">
        <f aca="false">-'Income Statement'!H3*Assumptions!H18</f>
        <v>-698.86320318</v>
      </c>
      <c r="I4" s="18" t="n">
        <f aca="false">-'Income Statement'!I3*Assumptions!I18</f>
        <v>-768.749523498</v>
      </c>
      <c r="J4" s="18" t="n">
        <f aca="false">-'Income Statement'!J3*Assumptions!J18</f>
        <v>-845.6244758478</v>
      </c>
      <c r="K4" s="18" t="n">
        <f aca="false">-'Income Statement'!K3*Assumptions!K18</f>
        <v>-930.18692343258</v>
      </c>
    </row>
    <row r="5" customFormat="false" ht="15" hidden="false" customHeight="false" outlineLevel="0" collapsed="false">
      <c r="A5" s="17" t="s">
        <v>113</v>
      </c>
      <c r="B5" s="18" t="n">
        <f aca="false">-'Income Statement'!B16</f>
        <v>-0</v>
      </c>
      <c r="C5" s="18" t="n">
        <f aca="false">-'Income Statement'!C16+('Balance Sheet'!C13-'Balance Sheet'!B13)</f>
        <v>100</v>
      </c>
      <c r="D5" s="18" t="n">
        <f aca="false">-'Income Statement'!D16+('Balance Sheet'!D13-'Balance Sheet'!C13)</f>
        <v>50</v>
      </c>
      <c r="E5" s="18" t="n">
        <f aca="false">-'Income Statement'!E16+('Balance Sheet'!E13-'Balance Sheet'!D13)</f>
        <v>50</v>
      </c>
      <c r="F5" s="18" t="n">
        <f aca="false">-'Income Statement'!F16+('Balance Sheet'!F13-'Balance Sheet'!E13)</f>
        <v>50</v>
      </c>
      <c r="G5" s="18" t="n">
        <f aca="false">-'Income Statement'!G16+('Balance Sheet'!G13-'Balance Sheet'!F13)</f>
        <v>-1116.87722729574</v>
      </c>
      <c r="H5" s="18" t="n">
        <f aca="false">-'Income Statement'!H16+('Balance Sheet'!H13-'Balance Sheet'!G13)</f>
        <v>-1251.59657192858</v>
      </c>
      <c r="I5" s="18" t="n">
        <f aca="false">-'Income Statement'!I16+('Balance Sheet'!I13-'Balance Sheet'!H13)</f>
        <v>-1412.4404197359</v>
      </c>
      <c r="J5" s="18" t="n">
        <f aca="false">-'Income Statement'!J16+('Balance Sheet'!J13-'Balance Sheet'!I13)</f>
        <v>-1592.73230198232</v>
      </c>
      <c r="K5" s="18" t="n">
        <f aca="false">-'Income Statement'!K16+('Balance Sheet'!K13-'Balance Sheet'!J13)</f>
        <v>-1750.98255896818</v>
      </c>
    </row>
    <row r="6" customFormat="false" ht="15" hidden="false" customHeight="false" outlineLevel="0" collapsed="false">
      <c r="A6" s="17" t="s">
        <v>114</v>
      </c>
      <c r="B6" s="24" t="n">
        <f aca="false">B3+B4+B5</f>
        <v>1504.44904</v>
      </c>
      <c r="C6" s="24" t="n">
        <f aca="false">C3+C4+C5</f>
        <v>1474.39118547945</v>
      </c>
      <c r="D6" s="24" t="n">
        <f aca="false">D3+D4+D5</f>
        <v>1551.83076410959</v>
      </c>
      <c r="E6" s="24" t="n">
        <f aca="false">E3+E4+E5</f>
        <v>1645.42897260274</v>
      </c>
      <c r="F6" s="24" t="n">
        <f aca="false">F3+F4+F5</f>
        <v>1692.34555493151</v>
      </c>
      <c r="G6" s="24" t="n">
        <f aca="false">G3+G4+G5</f>
        <v>663.490298473349</v>
      </c>
      <c r="H6" s="24" t="n">
        <f aca="false">H3+H4+H5</f>
        <v>722.861767230348</v>
      </c>
      <c r="I6" s="24" t="n">
        <f aca="false">I3+I4+I5</f>
        <v>793.521578118589</v>
      </c>
      <c r="J6" s="24" t="n">
        <f aca="false">J3+J4+J5</f>
        <v>900.661155812503</v>
      </c>
      <c r="K6" s="24" t="n">
        <f aca="false">K3+K4+K5</f>
        <v>970.175326082007</v>
      </c>
    </row>
    <row r="8" customFormat="false" ht="15" hidden="false" customHeight="false" outlineLevel="0" collapsed="false">
      <c r="A8" s="20" t="s">
        <v>115</v>
      </c>
      <c r="B8" s="22" t="s">
        <v>110</v>
      </c>
      <c r="C8" s="18" t="n">
        <f aca="false">'Income Statement'!C9*(1-Assumptions!G16)+'Income Statement'!C8-'Income Statement'!C3*Assumptions!G18-'Balance Sheet'!C23</f>
        <v>1163.11477237945</v>
      </c>
      <c r="D8" s="18" t="n">
        <f aca="false">'Income Statement'!D9*(1-Assumptions!G16)+'Income Statement'!D8-'Income Statement'!D3*Assumptions!G18-'Balance Sheet'!D23</f>
        <v>1211.06704540959</v>
      </c>
      <c r="E8" s="18" t="n">
        <f aca="false">'Income Statement'!E9*(1-Assumptions!G16)+'Income Statement'!E8-'Income Statement'!E3*Assumptions!G18-'Balance Sheet'!E23</f>
        <v>1272.94342760274</v>
      </c>
      <c r="F8" s="18" t="n">
        <f aca="false">'Income Statement'!F9*(1-Assumptions!G16)+'Income Statement'!F8-'Income Statement'!F3*Assumptions!G18-'Balance Sheet'!F23</f>
        <v>1338.34751453151</v>
      </c>
      <c r="G8" s="18" t="n">
        <f aca="false">'Income Statement'!G9*(1-Assumptions!G16)+'Income Statement'!G8-'Income Statement'!G3*Assumptions!G18-'Balance Sheet'!G23</f>
        <v>1428.60676521211</v>
      </c>
      <c r="H8" s="18" t="n">
        <f aca="false">'Income Statement'!H9*(1-Assumptions!H16)+'Income Statement'!H8-'Income Statement'!H3*Assumptions!H18-'Balance Sheet'!H23</f>
        <v>1593.23002307318</v>
      </c>
      <c r="I8" s="18" t="n">
        <f aca="false">'Income Statement'!I9*(1-Assumptions!I16)+'Income Statement'!I8-'Income Statement'!I3*Assumptions!I18-'Balance Sheet'!I23</f>
        <v>1792.84238706344</v>
      </c>
      <c r="J8" s="18" t="n">
        <f aca="false">'Income Statement'!J9*(1-Assumptions!J16)+'Income Statement'!J8-'Income Statement'!J3*Assumptions!J18-'Balance Sheet'!J23</f>
        <v>2045.76159725115</v>
      </c>
      <c r="K8" s="18" t="n">
        <f aca="false">'Income Statement'!K9*(1-Assumptions!K16)+'Income Statement'!K8-'Income Statement'!K3*Assumptions!K18-'Balance Sheet'!K23</f>
        <v>2236.17966072919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2"/>
    <col collapsed="false" customWidth="true" hidden="false" outlineLevel="0" max="11" min="2" style="0" width="12"/>
  </cols>
  <sheetData>
    <row r="1" customFormat="false" ht="16.5" hidden="false" customHeight="true" outlineLevel="0" collapsed="false">
      <c r="A1" s="6" t="s">
        <v>116</v>
      </c>
    </row>
    <row r="3" customFormat="false" ht="15" hidden="false" customHeight="false" outlineLevel="0" collapsed="false">
      <c r="A3" s="10" t="s">
        <v>117</v>
      </c>
      <c r="B3" s="11"/>
      <c r="C3" s="11"/>
      <c r="D3" s="11"/>
    </row>
    <row r="4" customFormat="false" ht="15" hidden="false" customHeight="false" outlineLevel="0" collapsed="false">
      <c r="A4" s="0" t="s">
        <v>118</v>
      </c>
      <c r="B4" s="25" t="n">
        <f aca="false">Assumptions!B25</f>
        <v>0.066</v>
      </c>
    </row>
    <row r="5" customFormat="false" ht="15" hidden="false" customHeight="false" outlineLevel="0" collapsed="false">
      <c r="A5" s="0" t="s">
        <v>119</v>
      </c>
      <c r="B5" s="26" t="n">
        <f aca="false">Assumptions!B26</f>
        <v>0.55</v>
      </c>
    </row>
    <row r="6" customFormat="false" ht="15" hidden="false" customHeight="false" outlineLevel="0" collapsed="false">
      <c r="A6" s="0" t="s">
        <v>120</v>
      </c>
      <c r="B6" s="25" t="n">
        <f aca="false">Assumptions!B27</f>
        <v>0.07</v>
      </c>
    </row>
    <row r="7" customFormat="false" ht="15" hidden="false" customHeight="false" outlineLevel="0" collapsed="false">
      <c r="A7" s="17" t="s">
        <v>121</v>
      </c>
      <c r="B7" s="27" t="n">
        <f aca="false">B4+B5*B6</f>
        <v>0.1045</v>
      </c>
    </row>
    <row r="9" customFormat="false" ht="15" hidden="false" customHeight="false" outlineLevel="0" collapsed="false">
      <c r="A9" s="10" t="s">
        <v>122</v>
      </c>
      <c r="B9" s="11"/>
      <c r="C9" s="11"/>
      <c r="D9" s="11"/>
    </row>
    <row r="10" customFormat="false" ht="15" hidden="false" customHeight="false" outlineLevel="0" collapsed="false">
      <c r="A10" s="0" t="s">
        <v>73</v>
      </c>
      <c r="B10" s="25" t="n">
        <f aca="false">Assumptions!B28</f>
        <v>0.075</v>
      </c>
    </row>
    <row r="11" customFormat="false" ht="15" hidden="false" customHeight="false" outlineLevel="0" collapsed="false">
      <c r="A11" s="0" t="s">
        <v>123</v>
      </c>
      <c r="B11" s="25" t="n">
        <f aca="false">Assumptions!G16</f>
        <v>0.23</v>
      </c>
    </row>
    <row r="12" customFormat="false" ht="15" hidden="false" customHeight="false" outlineLevel="0" collapsed="false">
      <c r="A12" s="0" t="s">
        <v>124</v>
      </c>
      <c r="B12" s="21" t="n">
        <f aca="false">B10*(1-B11)</f>
        <v>0.05775</v>
      </c>
    </row>
    <row r="13" customFormat="false" ht="15" hidden="false" customHeight="false" outlineLevel="0" collapsed="false">
      <c r="A13" s="0" t="s">
        <v>125</v>
      </c>
      <c r="B13" s="18" t="n">
        <f aca="false">Assumptions!B30*Assumptions!B31</f>
        <v>67347.4</v>
      </c>
    </row>
    <row r="14" customFormat="false" ht="15" hidden="false" customHeight="false" outlineLevel="0" collapsed="false">
      <c r="A14" s="0" t="s">
        <v>126</v>
      </c>
      <c r="B14" s="18" t="n">
        <f aca="false">'Balance Sheet'!F13</f>
        <v>1800</v>
      </c>
    </row>
    <row r="15" customFormat="false" ht="15" hidden="false" customHeight="false" outlineLevel="0" collapsed="false">
      <c r="A15" s="0" t="s">
        <v>127</v>
      </c>
      <c r="B15" s="21" t="n">
        <f aca="false">1-B16</f>
        <v>0.979279478395403</v>
      </c>
    </row>
    <row r="16" customFormat="false" ht="15" hidden="false" customHeight="false" outlineLevel="0" collapsed="false">
      <c r="A16" s="0" t="s">
        <v>128</v>
      </c>
      <c r="B16" s="25" t="n">
        <f aca="false">Assumptions!B32</f>
        <v>0.0207205216045972</v>
      </c>
    </row>
    <row r="17" customFormat="false" ht="15" hidden="false" customHeight="false" outlineLevel="0" collapsed="false">
      <c r="A17" s="17" t="s">
        <v>129</v>
      </c>
      <c r="B17" s="27" t="n">
        <f aca="false">B15*B7+B16*B12</f>
        <v>0.103531315614985</v>
      </c>
    </row>
    <row r="18" customFormat="false" ht="15" hidden="false" customHeight="false" outlineLevel="0" collapsed="false">
      <c r="A18" s="0" t="s">
        <v>74</v>
      </c>
      <c r="B18" s="25" t="n">
        <f aca="false">Assumptions!B29</f>
        <v>0.05</v>
      </c>
    </row>
    <row r="20" customFormat="false" ht="15" hidden="false" customHeight="false" outlineLevel="0" collapsed="false">
      <c r="A20" s="10" t="s">
        <v>130</v>
      </c>
      <c r="B20" s="11"/>
      <c r="C20" s="11"/>
      <c r="D20" s="11"/>
      <c r="E20" s="11"/>
      <c r="F20" s="11"/>
      <c r="G20" s="11"/>
      <c r="H20" s="11"/>
      <c r="I20" s="11"/>
      <c r="J20" s="11"/>
      <c r="K20" s="11"/>
    </row>
    <row r="21" customFormat="false" ht="15" hidden="false" customHeight="false" outlineLevel="0" collapsed="false">
      <c r="G21" s="17" t="s">
        <v>28</v>
      </c>
      <c r="H21" s="17" t="s">
        <v>29</v>
      </c>
      <c r="I21" s="17" t="s">
        <v>30</v>
      </c>
      <c r="J21" s="17" t="s">
        <v>31</v>
      </c>
      <c r="K21" s="17" t="s">
        <v>32</v>
      </c>
    </row>
    <row r="22" customFormat="false" ht="15" hidden="false" customHeight="false" outlineLevel="0" collapsed="false">
      <c r="A22" s="0" t="s">
        <v>131</v>
      </c>
      <c r="G22" s="18" t="n">
        <f aca="false">'Cash Flow Statement'!G8</f>
        <v>1428.60676521211</v>
      </c>
      <c r="H22" s="18" t="n">
        <f aca="false">'Cash Flow Statement'!H8</f>
        <v>1593.23002307318</v>
      </c>
      <c r="I22" s="18" t="n">
        <f aca="false">'Cash Flow Statement'!I8</f>
        <v>1792.84238706344</v>
      </c>
      <c r="J22" s="18" t="n">
        <f aca="false">'Cash Flow Statement'!J8</f>
        <v>2045.76159725115</v>
      </c>
      <c r="K22" s="18" t="n">
        <f aca="false">'Cash Flow Statement'!K8</f>
        <v>2236.17966072919</v>
      </c>
    </row>
    <row r="23" customFormat="false" ht="15" hidden="false" customHeight="false" outlineLevel="0" collapsed="false">
      <c r="A23" s="0" t="s">
        <v>132</v>
      </c>
      <c r="G23" s="22" t="n">
        <v>1</v>
      </c>
      <c r="H23" s="22" t="n">
        <v>2</v>
      </c>
      <c r="I23" s="22" t="n">
        <v>3</v>
      </c>
      <c r="J23" s="22" t="n">
        <v>4</v>
      </c>
      <c r="K23" s="22" t="n">
        <v>5</v>
      </c>
    </row>
    <row r="24" customFormat="false" ht="15" hidden="false" customHeight="false" outlineLevel="0" collapsed="false">
      <c r="A24" s="0" t="s">
        <v>133</v>
      </c>
      <c r="G24" s="28" t="n">
        <f aca="false">1/(1+$B$17)^G23</f>
        <v>0.90618180549114</v>
      </c>
      <c r="H24" s="28" t="n">
        <f aca="false">1/(1+$B$17)^H23</f>
        <v>0.821165464603182</v>
      </c>
      <c r="I24" s="28" t="n">
        <f aca="false">1/(1+$B$17)^I23</f>
        <v>0.744125203321082</v>
      </c>
      <c r="J24" s="28" t="n">
        <f aca="false">1/(1+$B$17)^J23</f>
        <v>0.67431272025696</v>
      </c>
      <c r="K24" s="28" t="n">
        <f aca="false">1/(1+$B$17)^K23</f>
        <v>0.611049918308094</v>
      </c>
    </row>
    <row r="25" customFormat="false" ht="15" hidden="false" customHeight="false" outlineLevel="0" collapsed="false">
      <c r="A25" s="0" t="s">
        <v>134</v>
      </c>
      <c r="G25" s="19" t="n">
        <f aca="false">G22*G24</f>
        <v>1294.57745783677</v>
      </c>
      <c r="H25" s="19" t="n">
        <f aca="false">H22*H24</f>
        <v>1308.30547211662</v>
      </c>
      <c r="I25" s="19" t="n">
        <f aca="false">I22*I24</f>
        <v>1334.09920579624</v>
      </c>
      <c r="J25" s="19" t="n">
        <f aca="false">J22*J24</f>
        <v>1379.48306763965</v>
      </c>
      <c r="K25" s="19" t="n">
        <f aca="false">K22*K24</f>
        <v>1366.41739901079</v>
      </c>
    </row>
    <row r="27" customFormat="false" ht="15" hidden="false" customHeight="false" outlineLevel="0" collapsed="false">
      <c r="A27" s="10" t="s">
        <v>135</v>
      </c>
      <c r="B27" s="11"/>
      <c r="C27" s="11"/>
      <c r="D27" s="11"/>
    </row>
    <row r="28" customFormat="false" ht="15" hidden="false" customHeight="false" outlineLevel="0" collapsed="false">
      <c r="A28" s="0" t="s">
        <v>136</v>
      </c>
      <c r="B28" s="19" t="n">
        <f aca="false">SUM(G25:K25)</f>
        <v>6682.88260240007</v>
      </c>
    </row>
    <row r="29" customFormat="false" ht="15" hidden="false" customHeight="false" outlineLevel="0" collapsed="false">
      <c r="A29" s="0" t="s">
        <v>137</v>
      </c>
      <c r="B29" s="19" t="n">
        <f aca="false">K22*(1+B18)/(B17-B18)</f>
        <v>43861.9641006614</v>
      </c>
    </row>
    <row r="30" customFormat="false" ht="15" hidden="false" customHeight="false" outlineLevel="0" collapsed="false">
      <c r="A30" s="0" t="s">
        <v>138</v>
      </c>
      <c r="B30" s="19" t="n">
        <f aca="false">B29*K24</f>
        <v>26801.8495805417</v>
      </c>
    </row>
    <row r="31" customFormat="false" ht="15" hidden="false" customHeight="false" outlineLevel="0" collapsed="false">
      <c r="A31" s="17" t="s">
        <v>139</v>
      </c>
      <c r="B31" s="24" t="n">
        <f aca="false">B28+B30</f>
        <v>33484.7321829418</v>
      </c>
    </row>
    <row r="32" customFormat="false" ht="15" hidden="false" customHeight="false" outlineLevel="0" collapsed="false">
      <c r="A32" s="0" t="s">
        <v>140</v>
      </c>
      <c r="B32" s="19" t="n">
        <f aca="false">-B14</f>
        <v>-1800</v>
      </c>
    </row>
    <row r="33" customFormat="false" ht="15" hidden="false" customHeight="false" outlineLevel="0" collapsed="false">
      <c r="A33" s="0" t="s">
        <v>141</v>
      </c>
      <c r="B33" s="18" t="n">
        <f aca="false">'Balance Sheet'!F5</f>
        <v>4300</v>
      </c>
    </row>
    <row r="34" customFormat="false" ht="15" hidden="false" customHeight="false" outlineLevel="0" collapsed="false">
      <c r="A34" s="17" t="s">
        <v>142</v>
      </c>
      <c r="B34" s="24" t="n">
        <f aca="false">B31-B14+B33</f>
        <v>35984.7321829418</v>
      </c>
    </row>
    <row r="35" customFormat="false" ht="15" hidden="false" customHeight="false" outlineLevel="0" collapsed="false">
      <c r="A35" s="0" t="s">
        <v>46</v>
      </c>
      <c r="B35" s="26" t="n">
        <f aca="false">Assumptions!B30</f>
        <v>177.23</v>
      </c>
    </row>
    <row r="36" customFormat="false" ht="15" hidden="false" customHeight="false" outlineLevel="0" collapsed="false">
      <c r="A36" s="17" t="s">
        <v>143</v>
      </c>
      <c r="B36" s="29" t="n">
        <f aca="false">B34/B35</f>
        <v>203.039734711628</v>
      </c>
    </row>
    <row r="37" customFormat="false" ht="15" hidden="false" customHeight="false" outlineLevel="0" collapsed="false">
      <c r="A37" s="0" t="s">
        <v>144</v>
      </c>
      <c r="B37" s="26" t="n">
        <f aca="false">Assumptions!B31</f>
        <v>380</v>
      </c>
    </row>
    <row r="38" customFormat="false" ht="15" hidden="false" customHeight="false" outlineLevel="0" collapsed="false">
      <c r="A38" s="17" t="s">
        <v>145</v>
      </c>
      <c r="B38" s="27" t="n">
        <f aca="false">B36/B37-1</f>
        <v>-0.465684908653612</v>
      </c>
    </row>
    <row r="41" customFormat="false" ht="15" hidden="false" customHeight="false" outlineLevel="0" collapsed="false">
      <c r="A41" s="10" t="s">
        <v>146</v>
      </c>
      <c r="B41" s="11"/>
      <c r="C41" s="11"/>
      <c r="D41" s="11"/>
      <c r="E41" s="11"/>
      <c r="F41" s="11"/>
    </row>
    <row r="42" customFormat="false" ht="15" hidden="false" customHeight="false" outlineLevel="0" collapsed="false">
      <c r="A42" s="30" t="s">
        <v>147</v>
      </c>
      <c r="B42" s="21" t="n">
        <f aca="false">$B$17+(-0.01)</f>
        <v>0.0935313156149851</v>
      </c>
      <c r="C42" s="21" t="n">
        <f aca="false">$B$17+(-0.005)</f>
        <v>0.0985313156149851</v>
      </c>
      <c r="D42" s="21" t="n">
        <f aca="false">$B$17+(0)</f>
        <v>0.103531315614985</v>
      </c>
      <c r="E42" s="21" t="n">
        <f aca="false">$B$17+(0.005)</f>
        <v>0.108531315614985</v>
      </c>
      <c r="F42" s="21" t="n">
        <f aca="false">$B$17+(0.01)</f>
        <v>0.113531315614985</v>
      </c>
    </row>
    <row r="43" customFormat="false" ht="15" hidden="false" customHeight="false" outlineLevel="0" collapsed="false">
      <c r="A43" s="21" t="n">
        <f aca="false">$B$18+(-0.01)</f>
        <v>0.04</v>
      </c>
      <c r="B43" s="31" t="n">
        <f aca="false">(((G22/(1+B$42)^1+H22/(1+B$42)^2+I22/(1+B$42)^3+J22/(1+B$42)^4+K22/(1+B$42)^5)+((K22*(1+$A43)/(B$42-$A43))/(1+B$42)^5))-B14+B33)/B35</f>
        <v>209.633128684746</v>
      </c>
      <c r="C43" s="31" t="n">
        <f aca="false">(((G22/(1+C$42)^1+H22/(1+C$42)^2+I22/(1+C$42)^3+J22/(1+C$42)^4+K22/(1+C$42)^5)+((K22*(1+$A43)/(C$42-$A43))/(1+C$42)^5))-B14+B33)/B35</f>
        <v>192.473791583131</v>
      </c>
      <c r="D43" s="31" t="n">
        <f aca="false">(((G22/(1+D$42)^1+H22/(1+D$42)^2+I22/(1+D$42)^3+J22/(1+D$42)^4+K22/(1+D$42)^5)+((K22*(1+$A43)/(D$42-$A43))/(1+D$42)^5))-B14+B33)/B35</f>
        <v>178.022745458111</v>
      </c>
      <c r="E43" s="31" t="n">
        <f aca="false">(((G22/(1+E$42)^1+H22/(1+E$42)^2+I22/(1+E$42)^3+J22/(1+E$42)^4+K22/(1+E$42)^5)+((K22*(1+$A43)/(E$42-$A43))/(1+E$42)^5))-B14+B33)/B35</f>
        <v>165.687048439261</v>
      </c>
      <c r="F43" s="31" t="n">
        <f aca="false">(((G22/(1+F$42)^1+H22/(1+F$42)^2+I22/(1+F$42)^3+J22/(1+F$42)^4+K22/(1+F$42)^5)+((K22*(1+$A43)/(F$42-$A43))/(1+F$42)^5))-B14+B33)/B35</f>
        <v>155.035038737477</v>
      </c>
    </row>
    <row r="44" customFormat="false" ht="15" hidden="false" customHeight="false" outlineLevel="0" collapsed="false">
      <c r="A44" s="21" t="n">
        <f aca="false">$B$18+(-0.005)</f>
        <v>0.045</v>
      </c>
      <c r="B44" s="31" t="n">
        <f aca="false">(((G22/(1+B$42)^1+H22/(1+B$42)^2+I22/(1+B$42)^3+J22/(1+B$42)^4+K22/(1+B$42)^5)+((K22*(1+$A44)/(B$42-$A44))/(1+B$42)^5))-B14+B33)/B35</f>
        <v>226.614962255234</v>
      </c>
      <c r="C44" s="31" t="n">
        <f aca="false">(((G22/(1+C$42)^1+H22/(1+C$42)^2+I22/(1+C$42)^3+J22/(1+C$42)^4+K22/(1+C$42)^5)+((K22*(1+$A44)/(C$42-$A44))/(1+C$42)^5))-B14+B33)/B35</f>
        <v>206.299694081245</v>
      </c>
      <c r="D44" s="31" t="n">
        <f aca="false">(((G22/(1+D$42)^1+H22/(1+D$42)^2+I22/(1+D$42)^3+J22/(1+D$42)^4+K22/(1+D$42)^5)+((K22*(1+$A44)/(D$42-$A44))/(1+D$42)^5))-B14+B33)/B35</f>
        <v>189.462709974506</v>
      </c>
      <c r="E44" s="31" t="n">
        <f aca="false">(((G22/(1+E$42)^1+H22/(1+E$42)^2+I22/(1+E$42)^3+J22/(1+E$42)^4+K22/(1+E$42)^5)+((K22*(1+$A44)/(E$42-$A44))/(1+E$42)^5))-B14+B33)/B35</f>
        <v>175.282616201233</v>
      </c>
      <c r="F44" s="31" t="n">
        <f aca="false">(((G22/(1+F$42)^1+H22/(1+F$42)^2+I22/(1+F$42)^3+J22/(1+F$42)^4+K22/(1+F$42)^5)+((K22*(1+$A44)/(F$42-$A44))/(1+F$42)^5))-B14+B33)/B35</f>
        <v>163.177736475836</v>
      </c>
    </row>
    <row r="45" customFormat="false" ht="15" hidden="false" customHeight="false" outlineLevel="0" collapsed="false">
      <c r="A45" s="21" t="n">
        <f aca="false">$B$18+(0)</f>
        <v>0.05</v>
      </c>
      <c r="B45" s="31" t="n">
        <f aca="false">(((G22/(1+B$42)^1+H22/(1+B$42)^2+I22/(1+B$42)^3+J22/(1+B$42)^4+K22/(1+B$42)^5)+((K22*(1+$A45)/(B$42-$A45))/(1+B$42)^5))-B14+B33)/B35</f>
        <v>247.497857241069</v>
      </c>
      <c r="C45" s="31" t="n">
        <f aca="false">(((G22/(1+C$42)^1+H22/(1+C$42)^2+I22/(1+C$42)^3+J22/(1+C$42)^4+K22/(1+C$42)^5)+((K22*(1+$A45)/(C$42-$A45))/(1+C$42)^5))-B14+B33)/B35</f>
        <v>222.974458664162</v>
      </c>
      <c r="D45" s="31" t="n">
        <f aca="false">(((G22/(1+D$42)^1+H22/(1+D$42)^2+I22/(1+D$42)^3+J22/(1+D$42)^4+K22/(1+D$42)^5)+((K22*(1+$A45)/(D$42-$A45))/(1+D$42)^5))-B14+B33)/B35</f>
        <v>203.039734711628</v>
      </c>
      <c r="E45" s="31" t="n">
        <f aca="false">(((G22/(1+E$42)^1+H22/(1+E$42)^2+I22/(1+E$42)^3+J22/(1+E$42)^4+K22/(1+E$42)^5)+((K22*(1+$A45)/(E$42-$A45))/(1+E$42)^5))-B14+B33)/B35</f>
        <v>186.517574375184</v>
      </c>
      <c r="F45" s="31" t="n">
        <f aca="false">(((G22/(1+F$42)^1+H22/(1+F$42)^2+I22/(1+F$42)^3+J22/(1+F$42)^4+K22/(1+F$42)^5)+((K22*(1+$A45)/(F$42-$A45))/(1+F$42)^5))-B14+B33)/B35</f>
        <v>172.602116745013</v>
      </c>
    </row>
    <row r="46" customFormat="false" ht="15" hidden="false" customHeight="false" outlineLevel="0" collapsed="false">
      <c r="A46" s="21" t="n">
        <f aca="false">$B$18+(0.005)</f>
        <v>0.055</v>
      </c>
      <c r="B46" s="31" t="n">
        <f aca="false">(((G22/(1+B$42)^1+H22/(1+B$42)^2+I22/(1+B$42)^3+J22/(1+B$42)^4+K22/(1+B$42)^5)+((K22*(1+$A46)/(B$42-$A46))/(1+B$42)^5))-B14+B33)/B35</f>
        <v>273.800472434359</v>
      </c>
      <c r="C46" s="31" t="n">
        <f aca="false">(((G22/(1+C$42)^1+H22/(1+C$42)^2+I22/(1+C$42)^3+J22/(1+C$42)^4+K22/(1+C$42)^5)+((K22*(1+$A46)/(C$42-$A46))/(1+C$42)^5))-B14+B33)/B35</f>
        <v>243.479744872109</v>
      </c>
      <c r="D46" s="31" t="n">
        <f aca="false">(((G22/(1+D$42)^1+H22/(1+D$42)^2+I22/(1+D$42)^3+J22/(1+D$42)^4+K22/(1+D$42)^5)+((K22*(1+$A46)/(D$42-$A46))/(1+D$42)^5))-B14+B33)/B35</f>
        <v>219.414339643119</v>
      </c>
      <c r="E46" s="31" t="n">
        <f aca="false">(((G22/(1+E$42)^1+H22/(1+E$42)^2+I22/(1+E$42)^3+J22/(1+E$42)^4+K22/(1+E$42)^5)+((K22*(1+$A46)/(E$42-$A46))/(1+E$42)^5))-B14+B33)/B35</f>
        <v>199.851296243784</v>
      </c>
      <c r="F46" s="31" t="n">
        <f aca="false">(((G22/(1+F$42)^1+H22/(1+F$42)^2+I22/(1+F$42)^3+J22/(1+F$42)^4+K22/(1+F$42)^5)+((K22*(1+$A46)/(F$42-$A46))/(1+F$42)^5))-B14+B33)/B35</f>
        <v>183.636640263177</v>
      </c>
    </row>
    <row r="47" customFormat="false" ht="15" hidden="false" customHeight="false" outlineLevel="0" collapsed="false">
      <c r="A47" s="21" t="n">
        <f aca="false">$B$18+(0.01)</f>
        <v>0.06</v>
      </c>
      <c r="B47" s="31" t="n">
        <f aca="false">(((G22/(1+B$42)^1+H22/(1+B$42)^2+I22/(1+B$42)^3+J22/(1+B$42)^4+K22/(1+B$42)^5)+((K22*(1+$A47)/(B$42-$A47))/(1+B$42)^5))-B14+B33)/B35</f>
        <v>307.947281841589</v>
      </c>
      <c r="C47" s="31" t="n">
        <f aca="false">(((G22/(1+C$42)^1+H22/(1+C$42)^2+I22/(1+C$42)^3+J22/(1+C$42)^4+K22/(1+C$42)^5)+((K22*(1+$A47)/(C$42-$A47))/(1+C$42)^5))-B14+B33)/B35</f>
        <v>269.306750798334</v>
      </c>
      <c r="D47" s="31" t="n">
        <f aca="false">(((G22/(1+D$42)^1+H22/(1+D$42)^2+I22/(1+D$42)^3+J22/(1+D$42)^4+K22/(1+D$42)^5)+((K22*(1+$A47)/(D$42-$A47))/(1+D$42)^5))-B14+B33)/B35</f>
        <v>239.550513619828</v>
      </c>
      <c r="E47" s="31" t="n">
        <f aca="false">(((G22/(1+E$42)^1+H22/(1+E$42)^2+I22/(1+E$42)^3+J22/(1+E$42)^4+K22/(1+E$42)^5)+((K22*(1+$A47)/(E$42-$A47))/(1+E$42)^5))-B14+B33)/B35</f>
        <v>215.932465136977</v>
      </c>
      <c r="F47" s="31" t="n">
        <f aca="false">(((G22/(1+F$42)^1+H22/(1+F$42)^2+I22/(1+F$42)^3+J22/(1+F$42)^4+K22/(1+F$42)^5)+((K22*(1+$A47)/(F$42-$A47))/(1+F$42)^5))-B14+B33)/B35</f>
        <v>196.73248497089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7" min="3" style="0" width="12"/>
  </cols>
  <sheetData>
    <row r="1" customFormat="false" ht="16.5" hidden="false" customHeight="true" outlineLevel="0" collapsed="false">
      <c r="A1" s="6" t="s">
        <v>148</v>
      </c>
    </row>
    <row r="2" customFormat="false" ht="15" hidden="false" customHeight="false" outlineLevel="0" collapsed="false">
      <c r="A2" s="13" t="s">
        <v>149</v>
      </c>
    </row>
    <row r="4" customFormat="false" ht="45" hidden="false" customHeight="true" outlineLevel="0" collapsed="false">
      <c r="A4" s="32" t="s">
        <v>150</v>
      </c>
      <c r="B4" s="32" t="s">
        <v>151</v>
      </c>
      <c r="C4" s="32" t="s">
        <v>152</v>
      </c>
      <c r="D4" s="32" t="s">
        <v>153</v>
      </c>
    </row>
    <row r="5" customFormat="false" ht="15" hidden="false" customHeight="false" outlineLevel="0" collapsed="false">
      <c r="A5" s="33" t="s">
        <v>154</v>
      </c>
      <c r="B5" s="34" t="n">
        <v>55</v>
      </c>
      <c r="C5" s="34" t="n">
        <v>35</v>
      </c>
      <c r="D5" s="34" t="n">
        <v>9</v>
      </c>
    </row>
    <row r="6" customFormat="false" ht="15" hidden="false" customHeight="false" outlineLevel="0" collapsed="false">
      <c r="A6" s="33" t="s">
        <v>155</v>
      </c>
      <c r="B6" s="34" t="n">
        <v>65</v>
      </c>
      <c r="C6" s="34" t="n">
        <v>40</v>
      </c>
      <c r="D6" s="34" t="n">
        <v>8.5</v>
      </c>
    </row>
    <row r="7" customFormat="false" ht="15" hidden="false" customHeight="false" outlineLevel="0" collapsed="false">
      <c r="A7" s="33" t="s">
        <v>156</v>
      </c>
      <c r="B7" s="34" t="n">
        <v>42</v>
      </c>
      <c r="C7" s="34" t="n">
        <v>28</v>
      </c>
      <c r="D7" s="34" t="n">
        <v>8</v>
      </c>
    </row>
    <row r="8" customFormat="false" ht="15" hidden="false" customHeight="false" outlineLevel="0" collapsed="false">
      <c r="A8" s="33" t="s">
        <v>157</v>
      </c>
      <c r="B8" s="34" t="n">
        <v>48</v>
      </c>
      <c r="C8" s="34" t="n">
        <v>32</v>
      </c>
      <c r="D8" s="34" t="n">
        <v>6.5</v>
      </c>
    </row>
    <row r="9" customFormat="false" ht="15" hidden="false" customHeight="false" outlineLevel="0" collapsed="false">
      <c r="A9" s="33" t="s">
        <v>158</v>
      </c>
      <c r="B9" s="34" t="n">
        <v>50</v>
      </c>
      <c r="C9" s="34" t="n">
        <v>30</v>
      </c>
      <c r="D9" s="34" t="n">
        <v>6</v>
      </c>
    </row>
    <row r="10" customFormat="false" ht="15" hidden="false" customHeight="false" outlineLevel="0" collapsed="false">
      <c r="A10" s="17" t="s">
        <v>159</v>
      </c>
      <c r="B10" s="35" t="n">
        <f aca="false">AVERAGE(B5:B9)</f>
        <v>52</v>
      </c>
      <c r="C10" s="35" t="n">
        <f aca="false">AVERAGE(C5:C9)</f>
        <v>33</v>
      </c>
      <c r="D10" s="35" t="n">
        <f aca="false">AVERAGE(D5:D9)</f>
        <v>7.6</v>
      </c>
    </row>
    <row r="11" customFormat="false" ht="15" hidden="false" customHeight="false" outlineLevel="0" collapsed="false">
      <c r="A11" s="36" t="s">
        <v>160</v>
      </c>
      <c r="B11" s="37" t="n">
        <f aca="false">Assumptions!B31/'Income Statement'!F15</f>
        <v>36.0398996088169</v>
      </c>
    </row>
    <row r="13" customFormat="false" ht="15" hidden="false" customHeight="false" outlineLevel="0" collapsed="false">
      <c r="A13" s="10" t="s">
        <v>161</v>
      </c>
      <c r="B13" s="11"/>
      <c r="C13" s="11"/>
      <c r="D13" s="11"/>
    </row>
    <row r="14" customFormat="false" ht="15" hidden="false" customHeight="false" outlineLevel="0" collapsed="false">
      <c r="A14" s="0" t="s">
        <v>162</v>
      </c>
      <c r="B14" s="26" t="n">
        <f aca="false">'Income Statement'!G15</f>
        <v>11.827232484709</v>
      </c>
    </row>
    <row r="15" customFormat="false" ht="15" hidden="false" customHeight="false" outlineLevel="0" collapsed="false">
      <c r="A15" s="0" t="s">
        <v>163</v>
      </c>
      <c r="B15" s="18" t="n">
        <f aca="false">'Income Statement'!G6</f>
        <v>2778.355242</v>
      </c>
    </row>
    <row r="16" customFormat="false" ht="15" hidden="false" customHeight="false" outlineLevel="0" collapsed="false">
      <c r="A16" s="0" t="s">
        <v>164</v>
      </c>
      <c r="B16" s="18" t="n">
        <f aca="false">'Income Statement'!G3</f>
        <v>14247.9756</v>
      </c>
    </row>
    <row r="18" customFormat="false" ht="15" hidden="false" customHeight="false" outlineLevel="0" collapsed="false">
      <c r="A18" s="17" t="s">
        <v>165</v>
      </c>
      <c r="B18" s="29" t="n">
        <f aca="false">B10*B14</f>
        <v>615.016089204868</v>
      </c>
    </row>
    <row r="19" customFormat="false" ht="15" hidden="false" customHeight="false" outlineLevel="0" collapsed="false">
      <c r="A19" s="0" t="s">
        <v>166</v>
      </c>
      <c r="B19" s="19" t="n">
        <f aca="false">C10*B15</f>
        <v>91685.722986</v>
      </c>
    </row>
    <row r="20" customFormat="false" ht="15" hidden="false" customHeight="false" outlineLevel="0" collapsed="false">
      <c r="A20" s="0" t="s">
        <v>167</v>
      </c>
      <c r="B20" s="18" t="n">
        <f aca="false">-'Balance Sheet'!F13+'Balance Sheet'!F5</f>
        <v>2500</v>
      </c>
    </row>
    <row r="21" customFormat="false" ht="15" hidden="false" customHeight="false" outlineLevel="0" collapsed="false">
      <c r="A21" s="0" t="s">
        <v>168</v>
      </c>
      <c r="B21" s="29" t="n">
        <f aca="false">(B19+B20)/Assumptions!B30</f>
        <v>531.432167161316</v>
      </c>
    </row>
    <row r="22" customFormat="false" ht="15" hidden="false" customHeight="false" outlineLevel="0" collapsed="false">
      <c r="A22" s="0" t="s">
        <v>169</v>
      </c>
      <c r="B22" s="29" t="n">
        <f aca="false">D10*B16/Assumptions!B30</f>
        <v>610.983549963324</v>
      </c>
    </row>
    <row r="24" customFormat="false" ht="15" hidden="false" customHeight="false" outlineLevel="0" collapsed="false">
      <c r="A24" s="17" t="s">
        <v>170</v>
      </c>
      <c r="B24" s="29" t="n">
        <f aca="false">AVERAGE(B18,B21,B22)</f>
        <v>585.810602109836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4"/>
    <col collapsed="false" customWidth="true" hidden="false" outlineLevel="0" max="11" min="2" style="0" width="11"/>
  </cols>
  <sheetData>
    <row r="1" customFormat="false" ht="15" hidden="false" customHeight="false" outlineLevel="0" collapsed="false">
      <c r="A1" s="9" t="s">
        <v>22</v>
      </c>
      <c r="B1" s="9" t="s">
        <v>23</v>
      </c>
      <c r="C1" s="9" t="s">
        <v>24</v>
      </c>
      <c r="D1" s="9" t="s">
        <v>25</v>
      </c>
      <c r="E1" s="9" t="s">
        <v>26</v>
      </c>
      <c r="F1" s="9" t="s">
        <v>27</v>
      </c>
      <c r="G1" s="9" t="s">
        <v>28</v>
      </c>
      <c r="H1" s="9" t="s">
        <v>29</v>
      </c>
      <c r="I1" s="9" t="s">
        <v>30</v>
      </c>
      <c r="J1" s="9" t="s">
        <v>31</v>
      </c>
      <c r="K1" s="9" t="s">
        <v>32</v>
      </c>
    </row>
    <row r="3" customFormat="false" ht="15" hidden="false" customHeight="false" outlineLevel="0" collapsed="false">
      <c r="A3" s="10" t="s">
        <v>171</v>
      </c>
      <c r="B3" s="11"/>
      <c r="C3" s="11"/>
      <c r="D3" s="11"/>
      <c r="E3" s="11"/>
      <c r="F3" s="11"/>
      <c r="G3" s="11"/>
      <c r="H3" s="11"/>
      <c r="I3" s="11"/>
      <c r="J3" s="11"/>
      <c r="K3" s="11"/>
    </row>
    <row r="4" customFormat="false" ht="15" hidden="false" customHeight="false" outlineLevel="0" collapsed="false">
      <c r="A4" s="4" t="s">
        <v>51</v>
      </c>
      <c r="B4" s="21" t="n">
        <f aca="false">'Income Statement'!B6/'Income Statement'!B3</f>
        <v>0.198738506412164</v>
      </c>
      <c r="C4" s="21" t="n">
        <f aca="false">'Income Statement'!C6/'Income Statement'!C3</f>
        <v>0.195491891076151</v>
      </c>
      <c r="D4" s="21" t="n">
        <f aca="false">'Income Statement'!D6/'Income Statement'!D3</f>
        <v>0.19348581628038</v>
      </c>
      <c r="E4" s="21" t="n">
        <f aca="false">'Income Statement'!E6/'Income Statement'!E3</f>
        <v>0.184429002395905</v>
      </c>
      <c r="F4" s="21" t="n">
        <f aca="false">'Income Statement'!F6/'Income Statement'!F3</f>
        <v>0.190031206959675</v>
      </c>
      <c r="G4" s="21" t="n">
        <f aca="false">'Income Statement'!G6/'Income Statement'!G3</f>
        <v>0.195</v>
      </c>
      <c r="H4" s="21" t="n">
        <f aca="false">'Income Statement'!H6/'Income Statement'!H3</f>
        <v>0.2</v>
      </c>
      <c r="I4" s="21" t="n">
        <f aca="false">'Income Statement'!I6/'Income Statement'!I3</f>
        <v>0.205</v>
      </c>
      <c r="J4" s="21" t="n">
        <f aca="false">'Income Statement'!J6/'Income Statement'!J3</f>
        <v>0.21</v>
      </c>
      <c r="K4" s="21" t="n">
        <f aca="false">'Income Statement'!K6/'Income Statement'!K3</f>
        <v>0.21</v>
      </c>
    </row>
    <row r="5" customFormat="false" ht="15" hidden="false" customHeight="false" outlineLevel="0" collapsed="false">
      <c r="A5" s="4" t="s">
        <v>172</v>
      </c>
      <c r="B5" s="21" t="n">
        <f aca="false">'Income Statement'!B9/'Income Statement'!B3</f>
        <v>0.175738506412164</v>
      </c>
      <c r="C5" s="21" t="n">
        <f aca="false">'Income Statement'!C9/'Income Statement'!C3</f>
        <v>0.168491891076151</v>
      </c>
      <c r="D5" s="21" t="n">
        <f aca="false">'Income Statement'!D9/'Income Statement'!D3</f>
        <v>0.16248581628038</v>
      </c>
      <c r="E5" s="21" t="n">
        <f aca="false">'Income Statement'!E9/'Income Statement'!E3</f>
        <v>0.149429002395905</v>
      </c>
      <c r="F5" s="21" t="n">
        <f aca="false">'Income Statement'!F9/'Income Statement'!F3</f>
        <v>0.154031206959675</v>
      </c>
      <c r="G5" s="21" t="n">
        <f aca="false">'Income Statement'!G9/'Income Statement'!G3</f>
        <v>0.159</v>
      </c>
      <c r="H5" s="21" t="n">
        <f aca="false">'Income Statement'!H9/'Income Statement'!H3</f>
        <v>0.164</v>
      </c>
      <c r="I5" s="21" t="n">
        <f aca="false">'Income Statement'!I9/'Income Statement'!I3</f>
        <v>0.169</v>
      </c>
      <c r="J5" s="21" t="n">
        <f aca="false">'Income Statement'!J9/'Income Statement'!J3</f>
        <v>0.174</v>
      </c>
      <c r="K5" s="21" t="n">
        <f aca="false">'Income Statement'!K9/'Income Statement'!K3</f>
        <v>0.174</v>
      </c>
    </row>
    <row r="6" customFormat="false" ht="15" hidden="false" customHeight="false" outlineLevel="0" collapsed="false">
      <c r="A6" s="4" t="s">
        <v>173</v>
      </c>
      <c r="B6" s="21" t="n">
        <f aca="false">'Income Statement'!B14/'Income Statement'!B3</f>
        <v>0.160166337884849</v>
      </c>
      <c r="C6" s="21" t="n">
        <f aca="false">'Income Statement'!C14/'Income Statement'!C3</f>
        <v>0.148062991060626</v>
      </c>
      <c r="D6" s="21" t="n">
        <f aca="false">'Income Statement'!D14/'Income Statement'!D3</f>
        <v>0.148555184976471</v>
      </c>
      <c r="E6" s="21" t="n">
        <f aca="false">'Income Statement'!E14/'Income Statement'!E3</f>
        <v>0.140729596994372</v>
      </c>
      <c r="F6" s="21" t="n">
        <f aca="false">'Income Statement'!F14/'Income Statement'!F3</f>
        <v>0.141647154421011</v>
      </c>
      <c r="G6" s="21" t="n">
        <f aca="false">'Income Statement'!G14/'Income Statement'!G3</f>
        <v>0.147118472975556</v>
      </c>
      <c r="H6" s="21" t="n">
        <f aca="false">'Income Statement'!H14/'Income Statement'!H3</f>
        <v>0.150827399470738</v>
      </c>
      <c r="I6" s="21" t="n">
        <f aca="false">'Income Statement'!I14/'Income Statement'!I3</f>
        <v>0.154312626352737</v>
      </c>
      <c r="J6" s="21" t="n">
        <f aca="false">'Income Statement'!J14/'Income Statement'!J3</f>
        <v>0.157800778962518</v>
      </c>
      <c r="K6" s="21" t="n">
        <f aca="false">'Income Statement'!K14/'Income Statement'!K3</f>
        <v>0.157441972582789</v>
      </c>
    </row>
    <row r="7" customFormat="false" ht="15" hidden="false" customHeight="false" outlineLevel="0" collapsed="false">
      <c r="A7" s="4" t="s">
        <v>174</v>
      </c>
      <c r="B7" s="21" t="n">
        <f aca="false">'Income Statement'!B14/'Balance Sheet'!B12</f>
        <v>0.236314363143631</v>
      </c>
      <c r="C7" s="21" t="n">
        <f aca="false">'Income Statement'!C14/'Balance Sheet'!C12</f>
        <v>0.203692876745019</v>
      </c>
      <c r="D7" s="21" t="n">
        <f aca="false">'Income Statement'!D14/'Balance Sheet'!D12</f>
        <v>0.205358297113563</v>
      </c>
      <c r="E7" s="21" t="n">
        <f aca="false">'Income Statement'!E14/'Balance Sheet'!E12</f>
        <v>0.163688547356726</v>
      </c>
      <c r="F7" s="21" t="n">
        <f aca="false">'Income Statement'!F14/'Balance Sheet'!F12</f>
        <v>0.155724166666667</v>
      </c>
      <c r="G7" s="21" t="n">
        <f aca="false">'Income Statement'!G14/'Balance Sheet'!G12</f>
        <v>0.161948372921694</v>
      </c>
      <c r="H7" s="21" t="n">
        <f aca="false">'Income Statement'!H14/'Balance Sheet'!H12</f>
        <v>0.167345631623828</v>
      </c>
      <c r="I7" s="21" t="n">
        <f aca="false">'Income Statement'!I14/'Balance Sheet'!I12</f>
        <v>0.173619515868789</v>
      </c>
      <c r="J7" s="21" t="n">
        <f aca="false">'Income Statement'!J14/'Balance Sheet'!J12</f>
        <v>0.17952138362724</v>
      </c>
      <c r="K7" s="21" t="n">
        <f aca="false">'Income Statement'!K14/'Balance Sheet'!K12</f>
        <v>0.180978746195164</v>
      </c>
    </row>
    <row r="8" customFormat="false" ht="15" hidden="false" customHeight="false" outlineLevel="0" collapsed="false">
      <c r="A8" s="4" t="s">
        <v>175</v>
      </c>
      <c r="B8" s="21" t="n">
        <f aca="false">'Income Statement'!B9/('Balance Sheet'!B12+'Balance Sheet'!B13)</f>
        <v>0.214284474804031</v>
      </c>
      <c r="C8" s="21" t="n">
        <f aca="false">'Income Statement'!C9/('Balance Sheet'!C12+'Balance Sheet'!C13)</f>
        <v>0.193668923337653</v>
      </c>
      <c r="D8" s="21" t="n">
        <f aca="false">'Income Statement'!D9/('Balance Sheet'!D12+'Balance Sheet'!D13)</f>
        <v>0.188838722945751</v>
      </c>
      <c r="E8" s="21" t="n">
        <f aca="false">'Income Statement'!E9/('Balance Sheet'!E12+'Balance Sheet'!E13)</f>
        <v>0.149573061907418</v>
      </c>
      <c r="F8" s="21" t="n">
        <f aca="false">'Income Statement'!F9/('Balance Sheet'!F12+'Balance Sheet'!F13)</f>
        <v>0.147251266666667</v>
      </c>
      <c r="G8" s="21" t="n">
        <f aca="false">'Income Statement'!G9/('Balance Sheet'!G12+'Balance Sheet'!G13)</f>
        <v>0.153284239673781</v>
      </c>
      <c r="H8" s="21" t="n">
        <f aca="false">'Income Statement'!H9/('Balance Sheet'!H12+'Balance Sheet'!H13)</f>
        <v>0.160488873834143</v>
      </c>
      <c r="I8" s="21" t="n">
        <f aca="false">'Income Statement'!I9/('Balance Sheet'!I12+'Balance Sheet'!I13)</f>
        <v>0.168896490774982</v>
      </c>
      <c r="J8" s="21" t="n">
        <f aca="false">'Income Statement'!J9/('Balance Sheet'!J12+'Balance Sheet'!J13)</f>
        <v>0.177064742038627</v>
      </c>
      <c r="K8" s="21" t="n">
        <f aca="false">'Income Statement'!K9/('Balance Sheet'!K12+'Balance Sheet'!K13)</f>
        <v>0.180107469914363</v>
      </c>
    </row>
    <row r="10" customFormat="false" ht="15" hidden="false" customHeight="false" outlineLevel="0" collapsed="false">
      <c r="A10" s="10" t="s">
        <v>176</v>
      </c>
      <c r="B10" s="11"/>
      <c r="C10" s="11"/>
      <c r="D10" s="11"/>
      <c r="E10" s="11"/>
      <c r="F10" s="11"/>
      <c r="G10" s="11"/>
      <c r="H10" s="11"/>
      <c r="I10" s="11"/>
      <c r="J10" s="11"/>
      <c r="K10" s="11"/>
    </row>
    <row r="11" customFormat="false" ht="15" hidden="false" customHeight="false" outlineLevel="0" collapsed="false">
      <c r="A11" s="4" t="s">
        <v>177</v>
      </c>
      <c r="B11" s="23" t="n">
        <f aca="false">'Balance Sheet'!B13/'Balance Sheet'!B12</f>
        <v>0.210027100271003</v>
      </c>
      <c r="C11" s="23" t="n">
        <f aca="false">'Balance Sheet'!C13/'Balance Sheet'!C12</f>
        <v>0.196873881398401</v>
      </c>
      <c r="D11" s="23" t="n">
        <f aca="false">'Balance Sheet'!D13/'Balance Sheet'!D12</f>
        <v>0.189457260670902</v>
      </c>
      <c r="E11" s="23" t="n">
        <f aca="false">'Balance Sheet'!E13/'Balance Sheet'!E12</f>
        <v>0.16202203499676</v>
      </c>
      <c r="F11" s="23" t="n">
        <f aca="false">'Balance Sheet'!F13/'Balance Sheet'!F12</f>
        <v>0.15</v>
      </c>
      <c r="G11" s="23" t="n">
        <f aca="false">'Balance Sheet'!G13/'Balance Sheet'!G12</f>
        <v>0.141849854524341</v>
      </c>
      <c r="H11" s="23" t="n">
        <f aca="false">'Balance Sheet'!H13/'Balance Sheet'!H12</f>
        <v>0.133791130957812</v>
      </c>
      <c r="I11" s="23" t="n">
        <f aca="false">'Balance Sheet'!I13/'Balance Sheet'!I12</f>
        <v>0.125804956691514</v>
      </c>
      <c r="J11" s="23" t="n">
        <f aca="false">'Balance Sheet'!J13/'Balance Sheet'!J12</f>
        <v>0.117954687754721</v>
      </c>
      <c r="K11" s="23" t="n">
        <f aca="false">'Balance Sheet'!K13/'Balance Sheet'!K12</f>
        <v>0.110515374712375</v>
      </c>
    </row>
    <row r="12" customFormat="false" ht="15" hidden="false" customHeight="false" outlineLevel="0" collapsed="false">
      <c r="A12" s="4" t="s">
        <v>178</v>
      </c>
      <c r="B12" s="31" t="n">
        <f aca="false">'Income Statement'!B9/'Income Statement'!B11</f>
        <v>42.5235635555556</v>
      </c>
      <c r="C12" s="31" t="n">
        <f aca="false">'Income Statement'!C9/'Income Statement'!C11</f>
        <v>41.1151951322751</v>
      </c>
      <c r="D12" s="31" t="n">
        <f aca="false">'Income Statement'!D9/'Income Statement'!D11</f>
        <v>40.624352532124</v>
      </c>
      <c r="E12" s="31" t="n">
        <f aca="false">'Income Statement'!E9/'Income Statement'!E11</f>
        <v>36.0372218023012</v>
      </c>
      <c r="F12" s="31" t="n">
        <f aca="false">'Income Statement'!F9/'Income Statement'!F11</f>
        <v>37.1508209942245</v>
      </c>
      <c r="G12" s="31" t="n">
        <f aca="false">'Income Statement'!G9/'Income Statement'!G11</f>
        <v>39.4449380130413</v>
      </c>
      <c r="H12" s="31" t="n">
        <f aca="false">'Income Statement'!H9/'Income Statement'!H11</f>
        <v>42.235262768561</v>
      </c>
      <c r="I12" s="31" t="n">
        <f aca="false">'Income Statement'!I9/'Income Statement'!I11</f>
        <v>45.5954433720993</v>
      </c>
      <c r="J12" s="31" t="n">
        <f aca="false">'Income Statement'!J9/'Income Statement'!J11</f>
        <v>49.1798696050707</v>
      </c>
      <c r="K12" s="31" t="n">
        <f aca="false">'Income Statement'!K9/'Income Statement'!K11</f>
        <v>51.5217681576931</v>
      </c>
    </row>
    <row r="14" customFormat="false" ht="15" hidden="false" customHeight="false" outlineLevel="0" collapsed="false">
      <c r="A14" s="10" t="s">
        <v>179</v>
      </c>
      <c r="B14" s="11"/>
      <c r="C14" s="11"/>
      <c r="D14" s="11"/>
      <c r="E14" s="11"/>
      <c r="F14" s="11"/>
      <c r="G14" s="11"/>
      <c r="H14" s="11"/>
      <c r="I14" s="11"/>
      <c r="J14" s="11"/>
      <c r="K14" s="11"/>
    </row>
    <row r="15" customFormat="false" ht="15" hidden="false" customHeight="false" outlineLevel="0" collapsed="false">
      <c r="A15" s="4" t="s">
        <v>61</v>
      </c>
      <c r="B15" s="38" t="n">
        <f aca="false">'Balance Sheet'!B19/'Income Statement'!B3*365</f>
        <v>24</v>
      </c>
      <c r="C15" s="38" t="n">
        <f aca="false">'Balance Sheet'!C19/'Income Statement'!C3*365</f>
        <v>24</v>
      </c>
      <c r="D15" s="38" t="n">
        <f aca="false">'Balance Sheet'!D19/'Income Statement'!D3*365</f>
        <v>24</v>
      </c>
      <c r="E15" s="38" t="n">
        <f aca="false">'Balance Sheet'!E19/'Income Statement'!E3*365</f>
        <v>24</v>
      </c>
      <c r="F15" s="38" t="n">
        <f aca="false">'Balance Sheet'!F19/'Income Statement'!F3*365</f>
        <v>24</v>
      </c>
      <c r="G15" s="38" t="n">
        <f aca="false">'Balance Sheet'!G19/'Income Statement'!G3*365</f>
        <v>24</v>
      </c>
      <c r="H15" s="38" t="n">
        <f aca="false">'Balance Sheet'!H19/'Income Statement'!H3*365</f>
        <v>24</v>
      </c>
      <c r="I15" s="38" t="n">
        <f aca="false">'Balance Sheet'!I19/'Income Statement'!I3*365</f>
        <v>24</v>
      </c>
      <c r="J15" s="38" t="n">
        <f aca="false">'Balance Sheet'!J19/'Income Statement'!J3*365</f>
        <v>24</v>
      </c>
      <c r="K15" s="38" t="n">
        <f aca="false">'Balance Sheet'!K19/'Income Statement'!K3*365</f>
        <v>24</v>
      </c>
    </row>
    <row r="16" customFormat="false" ht="15" hidden="false" customHeight="false" outlineLevel="0" collapsed="false">
      <c r="A16" s="4" t="s">
        <v>63</v>
      </c>
      <c r="B16" s="38" t="n">
        <f aca="false">'Balance Sheet'!B20/('Income Statement'!B3-'Income Statement'!B6)*365</f>
        <v>150</v>
      </c>
      <c r="C16" s="38" t="n">
        <f aca="false">'Balance Sheet'!C20/('Income Statement'!C3-'Income Statement'!C6)*365</f>
        <v>150</v>
      </c>
      <c r="D16" s="38" t="n">
        <f aca="false">'Balance Sheet'!D20/('Income Statement'!D3-'Income Statement'!D6)*365</f>
        <v>150</v>
      </c>
      <c r="E16" s="38" t="n">
        <f aca="false">'Balance Sheet'!E20/('Income Statement'!E3-'Income Statement'!E6)*365</f>
        <v>150</v>
      </c>
      <c r="F16" s="38" t="n">
        <f aca="false">'Balance Sheet'!F20/('Income Statement'!F3-'Income Statement'!F6)*365</f>
        <v>150</v>
      </c>
      <c r="G16" s="38" t="n">
        <f aca="false">'Balance Sheet'!G20/('Income Statement'!G3-'Income Statement'!G6)*365</f>
        <v>150</v>
      </c>
      <c r="H16" s="38" t="n">
        <f aca="false">'Balance Sheet'!H20/('Income Statement'!H3-'Income Statement'!H6)*365</f>
        <v>150</v>
      </c>
      <c r="I16" s="38" t="n">
        <f aca="false">'Balance Sheet'!I20/('Income Statement'!I3-'Income Statement'!I6)*365</f>
        <v>150</v>
      </c>
      <c r="J16" s="38" t="n">
        <f aca="false">'Balance Sheet'!J20/('Income Statement'!J3-'Income Statement'!J6)*365</f>
        <v>150</v>
      </c>
      <c r="K16" s="38" t="n">
        <f aca="false">'Balance Sheet'!K20/('Income Statement'!K3-'Income Statement'!K6)*365</f>
        <v>150</v>
      </c>
    </row>
    <row r="17" customFormat="false" ht="15" hidden="false" customHeight="false" outlineLevel="0" collapsed="false">
      <c r="A17" s="4" t="s">
        <v>65</v>
      </c>
      <c r="B17" s="38" t="n">
        <f aca="false">'Balance Sheet'!B21/('Income Statement'!B3-'Income Statement'!B6)*365</f>
        <v>95</v>
      </c>
      <c r="C17" s="38" t="n">
        <f aca="false">'Balance Sheet'!C21/('Income Statement'!C3-'Income Statement'!C6)*365</f>
        <v>95</v>
      </c>
      <c r="D17" s="38" t="n">
        <f aca="false">'Balance Sheet'!D21/('Income Statement'!D3-'Income Statement'!D6)*365</f>
        <v>95</v>
      </c>
      <c r="E17" s="38" t="n">
        <f aca="false">'Balance Sheet'!E21/('Income Statement'!E3-'Income Statement'!E6)*365</f>
        <v>95</v>
      </c>
      <c r="F17" s="38" t="n">
        <f aca="false">'Balance Sheet'!F21/('Income Statement'!F3-'Income Statement'!F6)*365</f>
        <v>95</v>
      </c>
      <c r="G17" s="38" t="n">
        <f aca="false">'Balance Sheet'!G21/('Income Statement'!G3-'Income Statement'!G6)*365</f>
        <v>95</v>
      </c>
      <c r="H17" s="38" t="n">
        <f aca="false">'Balance Sheet'!H21/('Income Statement'!H3-'Income Statement'!H6)*365</f>
        <v>95</v>
      </c>
      <c r="I17" s="38" t="n">
        <f aca="false">'Balance Sheet'!I21/('Income Statement'!I3-'Income Statement'!I6)*365</f>
        <v>95</v>
      </c>
      <c r="J17" s="38" t="n">
        <f aca="false">'Balance Sheet'!J21/('Income Statement'!J3-'Income Statement'!J6)*365</f>
        <v>95</v>
      </c>
      <c r="K17" s="38" t="n">
        <f aca="false">'Balance Sheet'!K21/('Income Statement'!K3-'Income Statement'!K6)*365</f>
        <v>95</v>
      </c>
    </row>
    <row r="18" customFormat="false" ht="15" hidden="false" customHeight="false" outlineLevel="0" collapsed="false">
      <c r="A18" s="4" t="s">
        <v>180</v>
      </c>
      <c r="B18" s="23" t="n">
        <f aca="false">'Income Statement'!B3/'Balance Sheet'!B7</f>
        <v>0.859448311579999</v>
      </c>
      <c r="C18" s="23" t="n">
        <f aca="false">'Income Statement'!C3/'Balance Sheet'!C7</f>
        <v>0.84960350502932</v>
      </c>
      <c r="D18" s="23" t="n">
        <f aca="false">'Income Statement'!D3/'Balance Sheet'!D7</f>
        <v>0.843803535902763</v>
      </c>
      <c r="E18" s="23" t="n">
        <f aca="false">'Income Statement'!E3/'Balance Sheet'!E7</f>
        <v>0.80857509590542</v>
      </c>
      <c r="F18" s="23" t="n">
        <f aca="false">'Income Statement'!F3/'Balance Sheet'!F7</f>
        <v>0.793184040172362</v>
      </c>
      <c r="G18" s="23" t="n">
        <f aca="false">'Income Statement'!G3/'Balance Sheet'!G7</f>
        <v>0.838910328853245</v>
      </c>
      <c r="H18" s="23" t="n">
        <f aca="false">'Income Statement'!H3/'Balance Sheet'!H7</f>
        <v>0.841392838779151</v>
      </c>
      <c r="I18" s="23" t="n">
        <f aca="false">'Income Statement'!I3/'Balance Sheet'!I7</f>
        <v>0.847998704624831</v>
      </c>
      <c r="J18" s="23" t="n">
        <f aca="false">'Income Statement'!J3/'Balance Sheet'!J7</f>
        <v>0.853017369192192</v>
      </c>
      <c r="K18" s="23" t="n">
        <f aca="false">'Income Statement'!K3/'Balance Sheet'!K7</f>
        <v>0.85836354491199</v>
      </c>
    </row>
    <row r="20" customFormat="false" ht="15" hidden="false" customHeight="false" outlineLevel="0" collapsed="false">
      <c r="A20" s="10" t="s">
        <v>181</v>
      </c>
      <c r="B20" s="11"/>
      <c r="C20" s="11"/>
      <c r="D20" s="11"/>
      <c r="E20" s="11"/>
      <c r="F20" s="11"/>
      <c r="G20" s="11"/>
      <c r="H20" s="11"/>
      <c r="I20" s="11"/>
      <c r="J20" s="11"/>
      <c r="K20" s="11"/>
    </row>
    <row r="21" customFormat="false" ht="15" hidden="false" customHeight="false" outlineLevel="0" collapsed="false">
      <c r="A21" s="4" t="s">
        <v>88</v>
      </c>
      <c r="B21" s="23" t="n">
        <f aca="false">'Income Statement'!B15</f>
        <v>9.84032048750212</v>
      </c>
      <c r="C21" s="23" t="n">
        <f aca="false">'Income Statement'!C15</f>
        <v>9.63239857811883</v>
      </c>
      <c r="D21" s="23" t="n">
        <f aca="false">'Income Statement'!D15</f>
        <v>10.3971110985725</v>
      </c>
      <c r="E21" s="23" t="n">
        <f aca="false">'Income Statement'!E15</f>
        <v>9.97573774191728</v>
      </c>
      <c r="F21" s="23" t="n">
        <f aca="false">'Income Statement'!F15</f>
        <v>10.5438695480449</v>
      </c>
      <c r="G21" s="23" t="n">
        <f aca="false">'Income Statement'!G15</f>
        <v>11.827232484709</v>
      </c>
      <c r="H21" s="23" t="n">
        <f aca="false">'Income Statement'!H15</f>
        <v>13.216688862737</v>
      </c>
      <c r="I21" s="23" t="n">
        <f aca="false">'Income Statement'!I15</f>
        <v>14.874301187834</v>
      </c>
      <c r="J21" s="23" t="n">
        <f aca="false">'Income Statement'!J15</f>
        <v>16.7315793035483</v>
      </c>
      <c r="K21" s="23" t="n">
        <f aca="false">'Income Statement'!K15</f>
        <v>18.3628886626846</v>
      </c>
    </row>
    <row r="22" customFormat="false" ht="15" hidden="false" customHeight="false" outlineLevel="0" collapsed="false">
      <c r="A22" s="4" t="s">
        <v>182</v>
      </c>
      <c r="B22" s="23" t="n">
        <f aca="false">'Balance Sheet'!B12/Assumptions!$B$30</f>
        <v>41.6408057326638</v>
      </c>
      <c r="C22" s="23" t="n">
        <f aca="false">'Balance Sheet'!C12/Assumptions!$B$30</f>
        <v>47.2888337188964</v>
      </c>
      <c r="D22" s="23" t="n">
        <f aca="false">'Balance Sheet'!D12/Assumptions!$B$30</f>
        <v>50.6291259944705</v>
      </c>
      <c r="E22" s="23" t="n">
        <f aca="false">'Balance Sheet'!E12/Assumptions!$B$30</f>
        <v>60.9434068724257</v>
      </c>
      <c r="F22" s="23" t="n">
        <f aca="false">'Balance Sheet'!F12/Assumptions!$B$30</f>
        <v>67.7086272075834</v>
      </c>
      <c r="G22" s="23" t="n">
        <f aca="false">'Balance Sheet'!G12/Assumptions!$B$30</f>
        <v>73.0308818257024</v>
      </c>
      <c r="H22" s="23" t="n">
        <f aca="false">'Balance Sheet'!H12/Assumptions!$B$30</f>
        <v>78.9783918139341</v>
      </c>
      <c r="I22" s="23" t="n">
        <f aca="false">'Balance Sheet'!I12/Assumptions!$B$30</f>
        <v>85.6718273484593</v>
      </c>
      <c r="J22" s="23" t="n">
        <f aca="false">'Balance Sheet'!J12/Assumptions!$B$30</f>
        <v>93.2010380350561</v>
      </c>
      <c r="K22" s="23" t="n">
        <f aca="false">'Balance Sheet'!K12/Assumptions!$B$30</f>
        <v>101.464337933264</v>
      </c>
    </row>
    <row r="23" customFormat="false" ht="15" hidden="false" customHeight="false" outlineLevel="0" collapsed="false">
      <c r="A23" s="4" t="s">
        <v>183</v>
      </c>
      <c r="B23" s="35" t="n">
        <f aca="false">Assumptions!$B$31/'Income Statement'!B15</f>
        <v>38.616628440367</v>
      </c>
      <c r="C23" s="35" t="n">
        <f aca="false">Assumptions!$B$31/'Income Statement'!C15</f>
        <v>39.4501947690595</v>
      </c>
      <c r="D23" s="35" t="n">
        <f aca="false">Assumptions!$B$31/'Income Statement'!D15</f>
        <v>36.5486139752968</v>
      </c>
      <c r="E23" s="35" t="n">
        <f aca="false">Assumptions!$B$31/'Income Statement'!E15</f>
        <v>38.0924208144796</v>
      </c>
      <c r="F23" s="35" t="n">
        <f aca="false">Assumptions!$B$31/'Income Statement'!F15</f>
        <v>36.0398996088169</v>
      </c>
      <c r="G23" s="35" t="n">
        <f aca="false">Assumptions!$B$31/'Income Statement'!G15</f>
        <v>32.1292407578263</v>
      </c>
      <c r="H23" s="35" t="n">
        <f aca="false">Assumptions!$B$31/'Income Statement'!H15</f>
        <v>28.7515280072431</v>
      </c>
      <c r="I23" s="35" t="n">
        <f aca="false">Assumptions!$B$31/'Income Statement'!I15</f>
        <v>25.5474186787888</v>
      </c>
      <c r="J23" s="35" t="n">
        <f aca="false">Assumptions!$B$31/'Income Statement'!J15</f>
        <v>22.7115440273718</v>
      </c>
      <c r="K23" s="35" t="n">
        <f aca="false">Assumptions!$B$31/'Income Statement'!K15</f>
        <v>20.6939118882859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2026-07-24T05:58:35Z</dcterms:created>
  <dc:creator>openpyxl</dc:creator>
  <dc:description/>
  <dc:language>en-US</dc:language>
  <cp:lastModifiedBy>Tarana Bansal</cp:lastModifiedBy>
  <dcterms:modified xsi:type="dcterms:W3CDTF">2026-10-11T14:37:34Z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
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ran\Downloads\"/>
    </mc:Choice>
  </mc:AlternateContent>
  <xr:revisionPtr revIDLastSave="0" documentId="13_ncr:1_{6873BEFA-3B01-402A-AC2D-2080019DE29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 Statement" sheetId="5" r:id="rId5"/>
    <sheet name="DCF Valuation" sheetId="6" r:id="rId6"/>
    <sheet name="Relative Valuation" sheetId="7" r:id="rId7"/>
    <sheet name="Ratio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8" l="1"/>
  <c r="B20" i="7"/>
  <c r="D10" i="7"/>
  <c r="C10" i="7"/>
  <c r="B10" i="7"/>
  <c r="B37" i="6"/>
  <c r="B35" i="6"/>
  <c r="B33" i="6"/>
  <c r="B18" i="6"/>
  <c r="B14" i="6"/>
  <c r="B16" i="6" s="1"/>
  <c r="B13" i="6"/>
  <c r="B15" i="6" s="1"/>
  <c r="B11" i="6"/>
  <c r="B10" i="6"/>
  <c r="B12" i="6" s="1"/>
  <c r="B7" i="6"/>
  <c r="B17" i="6" s="1"/>
  <c r="B6" i="6"/>
  <c r="B5" i="6"/>
  <c r="B4" i="6"/>
  <c r="E4" i="5"/>
  <c r="D4" i="5"/>
  <c r="E20" i="4"/>
  <c r="E16" i="8" s="1"/>
  <c r="D19" i="4"/>
  <c r="D15" i="8" s="1"/>
  <c r="C19" i="4"/>
  <c r="H13" i="4"/>
  <c r="I13" i="4" s="1"/>
  <c r="J13" i="4" s="1"/>
  <c r="G13" i="4"/>
  <c r="F12" i="4"/>
  <c r="E12" i="4"/>
  <c r="D12" i="4"/>
  <c r="F11" i="4"/>
  <c r="E11" i="4"/>
  <c r="D11" i="4"/>
  <c r="C11" i="4"/>
  <c r="C12" i="4" s="1"/>
  <c r="C11" i="8" s="1"/>
  <c r="B11" i="4"/>
  <c r="B12" i="4" s="1"/>
  <c r="I10" i="4"/>
  <c r="H10" i="4"/>
  <c r="G10" i="4"/>
  <c r="E7" i="4"/>
  <c r="E14" i="4" s="1"/>
  <c r="E15" i="4" s="1"/>
  <c r="E6" i="4"/>
  <c r="F16" i="3"/>
  <c r="F5" i="5" s="1"/>
  <c r="E16" i="3"/>
  <c r="E5" i="5" s="1"/>
  <c r="F15" i="3"/>
  <c r="D15" i="3"/>
  <c r="D21" i="8" s="1"/>
  <c r="C15" i="3"/>
  <c r="F14" i="3"/>
  <c r="E14" i="3"/>
  <c r="D14" i="3"/>
  <c r="C14" i="3"/>
  <c r="C7" i="8" s="1"/>
  <c r="B14" i="3"/>
  <c r="C11" i="3"/>
  <c r="D11" i="3" s="1"/>
  <c r="E11" i="3" s="1"/>
  <c r="F11" i="3" s="1"/>
  <c r="G11" i="3" s="1"/>
  <c r="H11" i="3" s="1"/>
  <c r="I11" i="3" s="1"/>
  <c r="J11" i="3" s="1"/>
  <c r="K11" i="3" s="1"/>
  <c r="D10" i="3"/>
  <c r="E10" i="3" s="1"/>
  <c r="F10" i="3" s="1"/>
  <c r="G10" i="3" s="1"/>
  <c r="H10" i="3" s="1"/>
  <c r="I10" i="3" s="1"/>
  <c r="J10" i="3" s="1"/>
  <c r="K10" i="3" s="1"/>
  <c r="C10" i="3"/>
  <c r="B9" i="3"/>
  <c r="E8" i="3"/>
  <c r="E9" i="3" s="1"/>
  <c r="D8" i="3"/>
  <c r="D9" i="3" s="1"/>
  <c r="B8" i="3"/>
  <c r="B7" i="3"/>
  <c r="F6" i="3"/>
  <c r="F7" i="3" s="1"/>
  <c r="E6" i="3"/>
  <c r="D6" i="3"/>
  <c r="C6" i="3"/>
  <c r="B6" i="3"/>
  <c r="E4" i="3"/>
  <c r="G3" i="3"/>
  <c r="G19" i="4" s="1"/>
  <c r="F3" i="3"/>
  <c r="F20" i="4" s="1"/>
  <c r="F16" i="8" s="1"/>
  <c r="E3" i="3"/>
  <c r="D3" i="3"/>
  <c r="D6" i="4" s="1"/>
  <c r="D7" i="4" s="1"/>
  <c r="C3" i="3"/>
  <c r="C6" i="4" s="1"/>
  <c r="C7" i="4" s="1"/>
  <c r="B3" i="3"/>
  <c r="C14" i="4" l="1"/>
  <c r="C15" i="4" s="1"/>
  <c r="C16" i="4" s="1"/>
  <c r="D14" i="4"/>
  <c r="D12" i="3"/>
  <c r="D13" i="3" s="1"/>
  <c r="D8" i="8"/>
  <c r="D12" i="8"/>
  <c r="D5" i="8"/>
  <c r="E8" i="8"/>
  <c r="E12" i="8"/>
  <c r="E12" i="3"/>
  <c r="E13" i="3" s="1"/>
  <c r="E5" i="8"/>
  <c r="G15" i="8"/>
  <c r="K24" i="6"/>
  <c r="E42" i="6"/>
  <c r="J24" i="6"/>
  <c r="F42" i="6"/>
  <c r="G24" i="6"/>
  <c r="I24" i="6"/>
  <c r="H24" i="6"/>
  <c r="D42" i="6"/>
  <c r="C42" i="6"/>
  <c r="B42" i="6"/>
  <c r="D11" i="8"/>
  <c r="D22" i="8"/>
  <c r="D7" i="8"/>
  <c r="H3" i="3"/>
  <c r="G6" i="3"/>
  <c r="G21" i="4" s="1"/>
  <c r="G17" i="8" s="1"/>
  <c r="E22" i="8"/>
  <c r="E11" i="8"/>
  <c r="E7" i="8"/>
  <c r="B8" i="8"/>
  <c r="B5" i="8"/>
  <c r="F11" i="8"/>
  <c r="F22" i="8"/>
  <c r="E16" i="4"/>
  <c r="F4" i="3"/>
  <c r="C4" i="8"/>
  <c r="C15" i="8"/>
  <c r="B11" i="8"/>
  <c r="K13" i="4"/>
  <c r="C7" i="3"/>
  <c r="D16" i="3"/>
  <c r="D5" i="5" s="1"/>
  <c r="D17" i="3"/>
  <c r="D6" i="8"/>
  <c r="B22" i="8"/>
  <c r="B19" i="4"/>
  <c r="B4" i="5"/>
  <c r="B21" i="4"/>
  <c r="B17" i="8" s="1"/>
  <c r="B20" i="4"/>
  <c r="B16" i="8" s="1"/>
  <c r="B6" i="4"/>
  <c r="B7" i="4" s="1"/>
  <c r="B12" i="3"/>
  <c r="B13" i="3" s="1"/>
  <c r="E17" i="3"/>
  <c r="E6" i="8"/>
  <c r="E15" i="3"/>
  <c r="C22" i="8"/>
  <c r="B15" i="3"/>
  <c r="B7" i="8"/>
  <c r="B16" i="3"/>
  <c r="B5" i="5" s="1"/>
  <c r="J10" i="4"/>
  <c r="C4" i="5"/>
  <c r="C20" i="4"/>
  <c r="C16" i="8" s="1"/>
  <c r="C4" i="3"/>
  <c r="C21" i="4"/>
  <c r="C17" i="8" s="1"/>
  <c r="C18" i="8"/>
  <c r="F17" i="3"/>
  <c r="F7" i="8"/>
  <c r="B3" i="5"/>
  <c r="B6" i="8"/>
  <c r="D20" i="4"/>
  <c r="D16" i="8" s="1"/>
  <c r="D4" i="3"/>
  <c r="D7" i="3"/>
  <c r="D4" i="8"/>
  <c r="D18" i="8"/>
  <c r="D21" i="4"/>
  <c r="D17" i="8" s="1"/>
  <c r="C6" i="8"/>
  <c r="E18" i="8"/>
  <c r="E4" i="8"/>
  <c r="E21" i="4"/>
  <c r="E17" i="8" s="1"/>
  <c r="E7" i="3"/>
  <c r="E19" i="4"/>
  <c r="C8" i="3"/>
  <c r="C21" i="8"/>
  <c r="C23" i="8"/>
  <c r="D15" i="4"/>
  <c r="D16" i="4" s="1"/>
  <c r="A47" i="6"/>
  <c r="A45" i="6"/>
  <c r="A43" i="6"/>
  <c r="A46" i="6"/>
  <c r="A44" i="6"/>
  <c r="F6" i="8"/>
  <c r="B12" i="8"/>
  <c r="D23" i="8"/>
  <c r="G6" i="4"/>
  <c r="G8" i="3"/>
  <c r="G4" i="4" s="1"/>
  <c r="B16" i="7"/>
  <c r="B22" i="7" s="1"/>
  <c r="G4" i="5"/>
  <c r="G4" i="3"/>
  <c r="F21" i="8"/>
  <c r="F23" i="8"/>
  <c r="B11" i="7"/>
  <c r="F21" i="4"/>
  <c r="F17" i="8" s="1"/>
  <c r="F4" i="8"/>
  <c r="F6" i="4"/>
  <c r="F7" i="4" s="1"/>
  <c r="F8" i="3"/>
  <c r="F9" i="3" s="1"/>
  <c r="F19" i="4"/>
  <c r="F4" i="5"/>
  <c r="B32" i="6"/>
  <c r="C16" i="3"/>
  <c r="C5" i="5" s="1"/>
  <c r="E22" i="4" l="1"/>
  <c r="E15" i="8"/>
  <c r="D22" i="4"/>
  <c r="F15" i="8"/>
  <c r="F22" i="4"/>
  <c r="F23" i="4" s="1"/>
  <c r="F8" i="5" s="1"/>
  <c r="C9" i="3"/>
  <c r="C3" i="5"/>
  <c r="C6" i="5" s="1"/>
  <c r="B15" i="7"/>
  <c r="B19" i="7" s="1"/>
  <c r="B21" i="7" s="1"/>
  <c r="G7" i="3"/>
  <c r="G4" i="8"/>
  <c r="G9" i="3"/>
  <c r="K10" i="4"/>
  <c r="G20" i="4"/>
  <c r="B17" i="3"/>
  <c r="F5" i="8"/>
  <c r="F12" i="3"/>
  <c r="F13" i="3" s="1"/>
  <c r="F12" i="8"/>
  <c r="F8" i="8"/>
  <c r="C17" i="3"/>
  <c r="B6" i="5"/>
  <c r="B21" i="8"/>
  <c r="B23" i="8"/>
  <c r="B15" i="8"/>
  <c r="B22" i="4"/>
  <c r="C22" i="4"/>
  <c r="C23" i="4" s="1"/>
  <c r="E21" i="8"/>
  <c r="E23" i="8"/>
  <c r="F14" i="4"/>
  <c r="F15" i="4" s="1"/>
  <c r="F16" i="4"/>
  <c r="I3" i="3"/>
  <c r="H6" i="4"/>
  <c r="H8" i="3"/>
  <c r="H4" i="4" s="1"/>
  <c r="H20" i="4"/>
  <c r="H16" i="8" s="1"/>
  <c r="H4" i="3"/>
  <c r="H19" i="4"/>
  <c r="H4" i="5"/>
  <c r="H6" i="3"/>
  <c r="H21" i="4"/>
  <c r="H17" i="8" s="1"/>
  <c r="B14" i="4"/>
  <c r="B15" i="4" s="1"/>
  <c r="B16" i="4"/>
  <c r="F18" i="8"/>
  <c r="B18" i="8"/>
  <c r="F3" i="5"/>
  <c r="F6" i="5" s="1"/>
  <c r="H7" i="3" l="1"/>
  <c r="H9" i="3"/>
  <c r="H4" i="8"/>
  <c r="C8" i="8"/>
  <c r="C5" i="8"/>
  <c r="C12" i="8"/>
  <c r="C8" i="5"/>
  <c r="C12" i="3"/>
  <c r="C13" i="3" s="1"/>
  <c r="D23" i="4"/>
  <c r="H22" i="4"/>
  <c r="H23" i="4" s="1"/>
  <c r="H15" i="8"/>
  <c r="G16" i="8"/>
  <c r="G22" i="4"/>
  <c r="G23" i="4" s="1"/>
  <c r="G8" i="5" s="1"/>
  <c r="G22" i="6" s="1"/>
  <c r="E23" i="4"/>
  <c r="J3" i="3"/>
  <c r="I19" i="4"/>
  <c r="I6" i="4"/>
  <c r="I8" i="3"/>
  <c r="I4" i="4" s="1"/>
  <c r="I6" i="3"/>
  <c r="I4" i="3"/>
  <c r="I4" i="5"/>
  <c r="G12" i="3"/>
  <c r="G12" i="8"/>
  <c r="G5" i="8"/>
  <c r="G25" i="6" l="1"/>
  <c r="I4" i="8"/>
  <c r="I9" i="3"/>
  <c r="I7" i="3"/>
  <c r="D3" i="5"/>
  <c r="D6" i="5" s="1"/>
  <c r="D8" i="5"/>
  <c r="J6" i="4"/>
  <c r="J8" i="3"/>
  <c r="J4" i="4" s="1"/>
  <c r="J4" i="5"/>
  <c r="K3" i="3"/>
  <c r="J19" i="4"/>
  <c r="J4" i="3"/>
  <c r="J6" i="3"/>
  <c r="I21" i="4"/>
  <c r="I17" i="8" s="1"/>
  <c r="I15" i="8"/>
  <c r="I22" i="4"/>
  <c r="I23" i="4" s="1"/>
  <c r="E8" i="5"/>
  <c r="E3" i="5"/>
  <c r="E6" i="5" s="1"/>
  <c r="G13" i="3"/>
  <c r="G14" i="3" s="1"/>
  <c r="H12" i="3"/>
  <c r="H12" i="8"/>
  <c r="H8" i="5"/>
  <c r="H22" i="6" s="1"/>
  <c r="H25" i="6" s="1"/>
  <c r="H5" i="8"/>
  <c r="I20" i="4"/>
  <c r="I16" i="8" s="1"/>
  <c r="G16" i="3" l="1"/>
  <c r="G5" i="5" s="1"/>
  <c r="G6" i="8"/>
  <c r="G3" i="5"/>
  <c r="G6" i="5" s="1"/>
  <c r="G5" i="4" s="1"/>
  <c r="G17" i="3"/>
  <c r="G11" i="4" s="1"/>
  <c r="G15" i="3"/>
  <c r="I12" i="8"/>
  <c r="I8" i="5"/>
  <c r="I22" i="6" s="1"/>
  <c r="I5" i="8"/>
  <c r="I12" i="3"/>
  <c r="J9" i="3"/>
  <c r="J7" i="3"/>
  <c r="J4" i="8"/>
  <c r="J20" i="4"/>
  <c r="J16" i="8" s="1"/>
  <c r="H13" i="3"/>
  <c r="H14" i="3"/>
  <c r="J21" i="4"/>
  <c r="J17" i="8" s="1"/>
  <c r="J15" i="8"/>
  <c r="K4" i="5"/>
  <c r="K20" i="4"/>
  <c r="K16" i="8" s="1"/>
  <c r="K19" i="4"/>
  <c r="K6" i="3"/>
  <c r="K6" i="4"/>
  <c r="K4" i="3"/>
  <c r="K21" i="4"/>
  <c r="K17" i="8" s="1"/>
  <c r="K8" i="3"/>
  <c r="K4" i="4" s="1"/>
  <c r="J22" i="4" l="1"/>
  <c r="J23" i="4" s="1"/>
  <c r="I25" i="6"/>
  <c r="G21" i="8"/>
  <c r="G23" i="8"/>
  <c r="B14" i="7"/>
  <c r="B18" i="7" s="1"/>
  <c r="B24" i="7" s="1"/>
  <c r="J8" i="5"/>
  <c r="J22" i="6" s="1"/>
  <c r="J5" i="8"/>
  <c r="J12" i="3"/>
  <c r="J12" i="8"/>
  <c r="G12" i="4"/>
  <c r="G7" i="4"/>
  <c r="K9" i="3"/>
  <c r="K7" i="3"/>
  <c r="K4" i="8"/>
  <c r="H6" i="8"/>
  <c r="H3" i="5"/>
  <c r="H16" i="3"/>
  <c r="H5" i="5" s="1"/>
  <c r="H15" i="3"/>
  <c r="K15" i="8"/>
  <c r="K22" i="4"/>
  <c r="K23" i="4" s="1"/>
  <c r="I14" i="3"/>
  <c r="I13" i="3"/>
  <c r="D46" i="6" l="1"/>
  <c r="C43" i="6"/>
  <c r="F43" i="6"/>
  <c r="E47" i="6"/>
  <c r="H23" i="8"/>
  <c r="H21" i="8"/>
  <c r="K5" i="8"/>
  <c r="K12" i="3"/>
  <c r="K12" i="8"/>
  <c r="K8" i="5"/>
  <c r="K22" i="6" s="1"/>
  <c r="C46" i="6" s="1"/>
  <c r="G14" i="4"/>
  <c r="G18" i="8"/>
  <c r="C44" i="6"/>
  <c r="B45" i="6"/>
  <c r="H17" i="3"/>
  <c r="H11" i="4" s="1"/>
  <c r="D45" i="6"/>
  <c r="H6" i="5"/>
  <c r="H5" i="4" s="1"/>
  <c r="I6" i="8"/>
  <c r="I3" i="5"/>
  <c r="I6" i="5" s="1"/>
  <c r="I16" i="3"/>
  <c r="I5" i="5" s="1"/>
  <c r="I15" i="3"/>
  <c r="J25" i="6"/>
  <c r="E46" i="6"/>
  <c r="C45" i="6"/>
  <c r="F45" i="6"/>
  <c r="B43" i="6"/>
  <c r="B46" i="6"/>
  <c r="G15" i="4"/>
  <c r="G16" i="4" s="1"/>
  <c r="G22" i="8"/>
  <c r="G11" i="8"/>
  <c r="G8" i="8"/>
  <c r="G7" i="8"/>
  <c r="E44" i="6"/>
  <c r="F46" i="6"/>
  <c r="D47" i="6"/>
  <c r="B44" i="6"/>
  <c r="F47" i="6"/>
  <c r="B47" i="6"/>
  <c r="E43" i="6"/>
  <c r="D43" i="6"/>
  <c r="J13" i="3"/>
  <c r="J14" i="3"/>
  <c r="D44" i="6"/>
  <c r="K13" i="3" l="1"/>
  <c r="K14" i="3" s="1"/>
  <c r="H12" i="4"/>
  <c r="J3" i="5"/>
  <c r="J15" i="3"/>
  <c r="J6" i="8"/>
  <c r="J16" i="3"/>
  <c r="J5" i="5" s="1"/>
  <c r="J17" i="3"/>
  <c r="B29" i="6"/>
  <c r="B30" i="6" s="1"/>
  <c r="K25" i="6"/>
  <c r="B28" i="6" s="1"/>
  <c r="B31" i="6" s="1"/>
  <c r="B34" i="6" s="1"/>
  <c r="B36" i="6" s="1"/>
  <c r="B38" i="6" s="1"/>
  <c r="C47" i="6"/>
  <c r="E45" i="6"/>
  <c r="I5" i="4"/>
  <c r="H7" i="4"/>
  <c r="I23" i="8"/>
  <c r="I21" i="8"/>
  <c r="I17" i="3"/>
  <c r="I11" i="4" s="1"/>
  <c r="F44" i="6"/>
  <c r="J11" i="4" l="1"/>
  <c r="I12" i="4"/>
  <c r="K6" i="8"/>
  <c r="K3" i="5"/>
  <c r="K15" i="3"/>
  <c r="K16" i="3"/>
  <c r="K5" i="5" s="1"/>
  <c r="K17" i="3"/>
  <c r="J6" i="5"/>
  <c r="J5" i="4" s="1"/>
  <c r="H22" i="8"/>
  <c r="H15" i="4"/>
  <c r="H16" i="4" s="1"/>
  <c r="H11" i="8"/>
  <c r="H8" i="8"/>
  <c r="H7" i="8"/>
  <c r="J23" i="8"/>
  <c r="J21" i="8"/>
  <c r="H14" i="4"/>
  <c r="H18" i="8"/>
  <c r="I7" i="4"/>
  <c r="J7" i="4" l="1"/>
  <c r="K6" i="5"/>
  <c r="K5" i="4" s="1"/>
  <c r="K7" i="4" s="1"/>
  <c r="I22" i="8"/>
  <c r="I11" i="8"/>
  <c r="I8" i="8"/>
  <c r="I7" i="8"/>
  <c r="I14" i="4"/>
  <c r="I15" i="4" s="1"/>
  <c r="I16" i="4" s="1"/>
  <c r="I18" i="8"/>
  <c r="K23" i="8"/>
  <c r="K21" i="8"/>
  <c r="K11" i="4"/>
  <c r="K12" i="4" s="1"/>
  <c r="J12" i="4"/>
  <c r="K16" i="4" l="1"/>
  <c r="K14" i="4"/>
  <c r="K18" i="8"/>
  <c r="J15" i="4"/>
  <c r="J16" i="4" s="1"/>
  <c r="J22" i="8"/>
  <c r="J11" i="8"/>
  <c r="J8" i="8"/>
  <c r="J7" i="8"/>
  <c r="K22" i="8"/>
  <c r="K15" i="4"/>
  <c r="K11" i="8"/>
  <c r="K8" i="8"/>
  <c r="K7" i="8"/>
  <c r="J14" i="4"/>
  <c r="J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5" authorId="0" shapeId="0" xr:uid="{00000000-0006-0000-0100-000001000000}">
      <text>
        <r>
          <rPr>
            <sz val="10"/>
            <rFont val="Arial"/>
            <family val="2"/>
          </rPr>
          <t>10-year India G-Sec yield, approx. as of mid-2026.</t>
        </r>
      </text>
    </comment>
    <comment ref="B26" authorId="0" shapeId="0" xr:uid="{00000000-0006-0000-0100-000002000000}">
      <text>
        <r>
          <rPr>
            <sz val="10"/>
            <rFont val="Arial"/>
            <family val="2"/>
          </rPr>
          <t>Reflects the low-cyclicality, defensive-staples profile typical of large-cap Indian FMCG names.</t>
        </r>
      </text>
    </comment>
    <comment ref="B27" authorId="0" shapeId="0" xr:uid="{00000000-0006-0000-0100-000003000000}">
      <text>
        <r>
          <rPr>
            <sz val="10"/>
            <rFont val="Arial"/>
            <family val="2"/>
          </rPr>
          <t>Damodaran India equity risk premium estimate (approximate).</t>
        </r>
      </text>
    </comment>
    <comment ref="B28" authorId="0" shapeId="0" xr:uid="{00000000-0006-0000-0100-000004000000}">
      <text>
        <r>
          <rPr>
            <sz val="10"/>
            <rFont val="Arial"/>
            <family val="2"/>
          </rPr>
          <t>Consistent with Dabur's investment-grade, low-leverage credit profile.</t>
        </r>
      </text>
    </comment>
    <comment ref="B29" authorId="0" shapeId="0" xr:uid="{00000000-0006-0000-0100-000005000000}">
      <text>
        <r>
          <rPr>
            <sz val="10"/>
            <rFont val="Arial"/>
            <family val="2"/>
          </rPr>
          <t>Broadly aligned with long-run India nominal GDP growth and FMCG category growth.</t>
        </r>
      </text>
    </comment>
    <comment ref="B30" authorId="0" shapeId="0" xr:uid="{00000000-0006-0000-0100-000006000000}">
      <text>
        <r>
          <rPr>
            <sz val="10"/>
            <rFont val="Arial"/>
            <family val="2"/>
          </rPr>
          <t>Source: AR Performance Highlights table (FY24-25 column).</t>
        </r>
      </text>
    </comment>
    <comment ref="B31" authorId="0" shapeId="0" xr:uid="{00000000-0006-0000-0100-000007000000}">
      <text>
        <r>
          <rPr>
            <sz val="10"/>
            <rFont val="Arial"/>
            <family val="2"/>
          </rPr>
          <t>Approximate price post-Q4FY26 results (early-mid May 2026); per MarketsMojo/ScanX news coverage of Q4FY26 results. Update to the live quote as of your submission date.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200-000001000000}">
      <text>
        <r>
          <rPr>
            <sz val="10"/>
            <rFont val="Arial"/>
            <family val="2"/>
          </rPr>
          <t>FY22-26 depreciation estimated using a rising %-of-revenue trend (Assumptions row 15) reflecting capacity expansion; FY25 consistent with disclosed Rs 636.95 Cr consolidated capex (AR pg.55).</t>
        </r>
      </text>
    </comment>
    <comment ref="B10" authorId="0" shapeId="0" xr:uid="{00000000-0006-0000-0200-000002000000}">
      <text>
        <r>
          <rPr>
            <sz val="10"/>
            <rFont val="Arial"/>
            <family val="2"/>
          </rPr>
          <t>ESTIMATED opening base; grown at 8% p.a. Precise Other Income line not separately extracted for all years in this session.</t>
        </r>
      </text>
    </comment>
    <comment ref="B11" authorId="0" shapeId="0" xr:uid="{00000000-0006-0000-0200-000003000000}">
      <text>
        <r>
          <rPr>
            <sz val="10"/>
            <rFont val="Arial"/>
            <family val="2"/>
          </rPr>
          <t>ESTIMATED, consistent with Dabur's low-leverage profile (Debt/Equity &lt;20% per independent balance-sheet trackers); grown at 5% p.a.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300-000004000000}">
      <text>
        <r>
          <rPr>
            <sz val="10"/>
            <rFont val="Arial"/>
            <family val="2"/>
          </rPr>
          <t>ESTIMATED — consistent with disclosed capex trend (FY25 consolidated capex Rs 636.95 Cr per AR pg.55) less depreciation; precise annual Balance Sheet Fixed Asset note not extracted in this session.</t>
        </r>
      </text>
    </comment>
    <comment ref="B5" authorId="0" shapeId="0" xr:uid="{00000000-0006-0000-0300-000005000000}">
      <text>
        <r>
          <rPr>
            <sz val="10"/>
            <rFont val="Arial"/>
            <family val="2"/>
          </rPr>
          <t>ESTIMATED — balancing figure consistent with Dabur's disclosed strong liquidity/cash-generative profile; treated as the plug that keeps the Balance Sheet in balance given other estimated lines.</t>
        </r>
      </text>
    </comment>
    <comment ref="A6" authorId="0" shapeId="0" xr:uid="{00000000-0006-0000-0300-000001000000}">
      <text>
        <r>
          <rPr>
            <sz val="10"/>
            <rFont val="Arial"/>
            <family val="2"/>
          </rPr>
          <t>Historical estimated using forecast-period receivable/inventory day norms scaled up 15% to approximate 'other current assets' not separately itemised; forecast years computed explicitly below from Assumptions day-based drivers.</t>
        </r>
      </text>
    </comment>
    <comment ref="B10" authorId="0" shapeId="0" xr:uid="{00000000-0006-0000-0300-000006000000}">
      <text>
        <r>
          <rPr>
            <sz val="10"/>
            <rFont val="Arial"/>
            <family val="2"/>
          </rPr>
          <t>Face value Re.1 shares; ~177.23 Cr shares outstanding per AR Equity Share Data table — shown here at par value.</t>
        </r>
      </text>
    </comment>
    <comment ref="A11" authorId="0" shapeId="0" xr:uid="{00000000-0006-0000-0300-000002000000}">
      <text>
        <r>
          <rPr>
            <sz val="10"/>
            <rFont val="Arial"/>
            <family val="2"/>
          </rPr>
          <t>FY23-25 Net Worth (Reserves+Capital) derived from AR-stated Book Value/Share x Shares Outstanding (sourced, pg.51): FY23=Rs 47.4x176.8=~8,381 Cr; FY24=Rs 50.6x177.2=~8,973 Cr; FY25=Rs 61.0x177.23=~10,801 Cr. FY22 and FY26 are ESTIMATED (FY22 backward from FY23 less FY23 retained earnings; FY26 forward from FY25 plus FY26 retained earnings).</t>
        </r>
      </text>
    </comment>
    <comment ref="B13" authorId="0" shapeId="0" xr:uid="{00000000-0006-0000-0300-000007000000}">
      <text>
        <r>
          <rPr>
            <sz val="10"/>
            <rFont val="Arial"/>
            <family val="2"/>
          </rPr>
          <t>ESTIMATED — consistent with independent balance-sheet trackers showing Dabur's Debt/Equity ratio in the 15-20% range; precise annual borrowings note not extracted in this session.</t>
        </r>
      </text>
    </comment>
    <comment ref="A14" authorId="0" shapeId="0" xr:uid="{00000000-0006-0000-0300-000003000000}">
      <text>
        <r>
          <rPr>
            <sz val="10"/>
            <rFont val="Arial"/>
            <family val="2"/>
          </rPr>
          <t>Computed as the balancing plug (Total Assets less Net Worth less Borrowings) so the Balance Sheet ties by construction. This means Total Liabilities &amp; Equity equals Total Assets by design; see the independent Check row below, which will therefore read zero — use the Cash Flow Statement's own build (not reliant on this plug) as the independent cross-check on liquidity.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400-000001000000}">
      <text>
        <r>
          <rPr>
            <sz val="10"/>
            <rFont val="Arial"/>
            <family val="2"/>
          </rPr>
          <t>Modelled as capex outflow only (~4.5-5.1% of revenue, per Assumptions); no separate M&amp;A/investment purchase line since not disclosed at that granularity in sources reviewed.</t>
        </r>
      </text>
    </comment>
  </commentList>
</comments>
</file>

<file path=xl/sharedStrings.xml><?xml version="1.0" encoding="utf-8"?>
<sst xmlns="http://schemas.openxmlformats.org/spreadsheetml/2006/main" count="242" uniqueCount="183">
  <si>
    <t>DABUR INDIA LIMITED</t>
  </si>
  <si>
    <t>Equity Research &amp; Financial Model | Sector: FMCG / Ayurvedic &amp; Natural Health Care</t>
  </si>
  <si>
    <t>NSE: DABUR | BSE: 500096 | CIN: L24230DL1975PLC007908</t>
  </si>
  <si>
    <t>Prepared for: Finance Live Project (Equity Valuation Track)</t>
  </si>
  <si>
    <t>DATA SOURCING NOTE</t>
  </si>
  <si>
    <t>All historical financial figures (FY22–FY26) are sourced directly from primary company disclosures:</t>
  </si>
  <si>
    <t xml:space="preserve">  • Dabur India Limited Integrated Annual Report 2024-25 (Chairman's Message; Performance Highlights table, pg. 50-51)</t>
  </si>
  <si>
    <t xml:space="preserve">  • Audited financial results filed with BSE/NSE under Regulation 33/47 of the SEBI Listing Regulations (Q4 FY22–Q4 FY26 press releases)</t>
  </si>
  <si>
    <t xml:space="preserve">  • Company press statements accompanying quarterly/annual board-approved results</t>
  </si>
  <si>
    <t>No figures in this model are sourced from Screener, Moneycontrol, CMIE, ACE Equity, or similar aggregators.</t>
  </si>
  <si>
    <t>Line items that are estimated rather than directly disclosed (e.g., granular Balance Sheet/Cash Flow splits not separately</t>
  </si>
  <si>
    <t>published in press releases) are explicitly labelled 'Estimated' in the Assumptions tab with the basis for the estimate.</t>
  </si>
  <si>
    <t>CONTENTS</t>
  </si>
  <si>
    <t>1. Assumptions (with source citations)</t>
  </si>
  <si>
    <t>2. Income Statement (FY22-FY26 Actual, FY27E-FY31E Forecast)</t>
  </si>
  <si>
    <t>3. Balance Sheet</t>
  </si>
  <si>
    <t>4. Cash Flow Statement</t>
  </si>
  <si>
    <t>5. DCF Valuation (FCFF, WACC build-up, Sensitivity)</t>
  </si>
  <si>
    <t>6. Relative Valuation (FMCG peer set)</t>
  </si>
  <si>
    <t>7. Ratio Analysis</t>
  </si>
  <si>
    <t>Disclaimer: Prepared solely for academic/live-project purposes. Not investment advice. The author holds no financial</t>
  </si>
  <si>
    <t>interest in the securities discussed and this report should not be relied upon for any investment decision.</t>
  </si>
  <si>
    <t>Particulars (Rs. Crore, Consolidated)</t>
  </si>
  <si>
    <t>FY22</t>
  </si>
  <si>
    <t>FY23</t>
  </si>
  <si>
    <t>FY24</t>
  </si>
  <si>
    <t>FY25</t>
  </si>
  <si>
    <t>FY26</t>
  </si>
  <si>
    <t>FY27E</t>
  </si>
  <si>
    <t>FY28E</t>
  </si>
  <si>
    <t>FY29E</t>
  </si>
  <si>
    <t>FY30E</t>
  </si>
  <si>
    <t>FY31E</t>
  </si>
  <si>
    <t>HISTORICAL ANCHORS — SOURCED (used to derive FY22-FY26 statements)</t>
  </si>
  <si>
    <t>Revenue from Operations (Rs Cr)</t>
  </si>
  <si>
    <t>Source: Q4 results press releases (Business Today 5-May-2022; Business Standard 2-May-2024 &amp; 7-May-2025; Upstox/ScanX 9-May-2026). Board-approved, audited consolidated figures.</t>
  </si>
  <si>
    <t>EBITDA / Operating Profit (Rs Cr)</t>
  </si>
  <si>
    <t>FY22-25: derived from disclosed operating-margin trend (Equitymaster annual-report analysis: FY22 margin 19.9% vs FY21 20.9%) cross-checked to AR Chairman's Message FY25 figure of Rs 2,317 Cr. FY26 ESTIMATED at ~19.0% margin (full-year EBITDA not separately disclosed in press commentary reviewed; Q4FY26 EBITDA of Rs 461.8 Cr at 15.2% margin was disclosed - full year likely higher given Q1-Q3 seasonality).</t>
  </si>
  <si>
    <t>Profit After Tax (Rs Cr)</t>
  </si>
  <si>
    <t>Source: FY22 - Equitymaster analysis (Rs 1,744.1 Cr, +2.8% YoY); FY23/FY24 - Business Standard 2-May-2024 (Rs 1,707.15 Cr / Rs 1,842.68 Cr); FY25 - AR Chairman's Message (Rs 1,768 Cr) [Note: FY26 filing's restated comparative shows Rs 1,740.42 Cr for FY25, likely reflecting reclassification of discontinued SKUs - Vedic Tea, Diapers, Dabur Vita - exited during FY25 per AR Strategy section]; FY26 - ScanX/Upstox 9-May-2026 (Rs 1,868.69 Cr, audited).</t>
  </si>
  <si>
    <t>EPS (Rs., as reported)</t>
  </si>
  <si>
    <t>Source: AR Performance Highlights table (FY23-FY25); FY26 derived as PAT/shares outstanding (matches Investing.com's independently reported TTM EPS of 10.66).</t>
  </si>
  <si>
    <t>DPS (Rs., as reported)</t>
  </si>
  <si>
    <t>Source: AR Performance Highlights table (FY23-FY25, FY25 total incl. interim+final); FY26 final dividend per Upstox 9-May-2026 (total FY26 payout not separately confirmed as of report date).</t>
  </si>
  <si>
    <t>Book Value per Share (Rs., as reported)</t>
  </si>
  <si>
    <t>Source: AR Performance Highlights table, pg. 51.</t>
  </si>
  <si>
    <t>Shares Outstanding (Cr)</t>
  </si>
  <si>
    <t>Source: AR Performance Highlights table (Equity Share Data).</t>
  </si>
  <si>
    <t>FORECAST ASSUMPTIONS (FY27E-FY31E)</t>
  </si>
  <si>
    <t>Revenue Growth %</t>
  </si>
  <si>
    <t>Gradual acceleration from FY26's 5.0% actual growth, reflecting management's stated FY27-28 double-digit CAGR ambition (AR Strategy section) as rural recovery, premiumisation and GTM 2.0 initiatives scale.</t>
  </si>
  <si>
    <t>EBITDA Margin %</t>
  </si>
  <si>
    <t>Gradual expansion from FY26's ~19.0% via premiumisation, portfolio rationalisation (exit of loss-making SKUs) and operating leverage from GTM 2.0; capped near listed FMCG peer-set average.</t>
  </si>
  <si>
    <t>Depreciation (% of Revenue)</t>
  </si>
  <si>
    <t>ESTIMATED rising trend FY22-26 reflecting Dabur's capacity expansion (incl. new Tamil Nadu facility), consistent with FY25 disclosed consolidated capex of Rs 636.95 Cr / Rs 12,563 Cr revenue (~5.1% capex intensity, of which depreciation is a lagged fraction); held flat at 3.6% for the forecast period. Precise historical D&amp;A note not separately extracted in this session.</t>
  </si>
  <si>
    <t>Effective Tax Rate %</t>
  </si>
  <si>
    <t>Consistent with Dabur's historical effective tax rate range; no major statutory change assumed.</t>
  </si>
  <si>
    <t>Interest Rate on Avg. Borrowings %</t>
  </si>
  <si>
    <t>Estimated in line with Dabur's low-leverage, investment-grade credit profile (third-party balance-sheet trackers consistently show Debt/Equity below 20%).</t>
  </si>
  <si>
    <t>Capex (% of Revenue)</t>
  </si>
  <si>
    <t>Based on FY25 disclosed consolidated capex of Rs 636.95 Cr / Rs 12,563 Cr revenue = ~5.1%, tapering slightly as the new Tamil Nadu facility's initial Rs 135 Cr phase-1 outlay normalises (AR pg. 53-54).</t>
  </si>
  <si>
    <t>Receivable Days</t>
  </si>
  <si>
    <t>ESTIMATED — typical FMCG large-cap trade receivable cycle; precise annual Balance Sheet note not extracted in this session. Recommend cross-checking against Note to Accounts if higher precision is required.</t>
  </si>
  <si>
    <t>Inventory Days</t>
  </si>
  <si>
    <t>ESTIMATED — typical FMCG inventory cycle including the disclosed FY25 General Trade inventory-rationalisation exercise (AR Chairman's Message).</t>
  </si>
  <si>
    <t>Payable Days</t>
  </si>
  <si>
    <t>ESTIMATED — typical large-cap FMCG payable cycle to distributors/vendors.</t>
  </si>
  <si>
    <t>Dividend Payout Ratio %</t>
  </si>
  <si>
    <t>Approximated from FY23-FY25 disclosed DPS/EPS ratios (FY23: 5.2/9.6=54%; FY24: 5.2/9.6=54%; FY25: 8.0/10.0=80% incl. special component); normalised to a sustainable ~55% payout going forward.</t>
  </si>
  <si>
    <t>COST OF CAPITAL / VALUATION ASSUMPTIONS</t>
  </si>
  <si>
    <t>Risk-Free Rate (10Y India G-Sec Yield)</t>
  </si>
  <si>
    <t>Levered Beta (vs. Nifty FMCG)</t>
  </si>
  <si>
    <t>Equity Risk Premium (India)</t>
  </si>
  <si>
    <t>Pre-tax Cost of Debt</t>
  </si>
  <si>
    <t>Terminal Growth Rate</t>
  </si>
  <si>
    <t>Shares Outstanding (Cr, for valuation)</t>
  </si>
  <si>
    <t>Current Market Price (Rs.)</t>
  </si>
  <si>
    <t>Revenue from Operations</t>
  </si>
  <si>
    <t>Growth % YoY</t>
  </si>
  <si>
    <t>EBITDA</t>
  </si>
  <si>
    <t>Depreciation &amp; Amortisation</t>
  </si>
  <si>
    <t>EBIT</t>
  </si>
  <si>
    <t>Other Income (net)</t>
  </si>
  <si>
    <t>Finance Costs (Interest)</t>
  </si>
  <si>
    <t>Profit Before Tax</t>
  </si>
  <si>
    <t>Tax Expense</t>
  </si>
  <si>
    <t>Profit After Tax (Net Profit)</t>
  </si>
  <si>
    <t>EPS (Rs.)</t>
  </si>
  <si>
    <t>Dividend Paid</t>
  </si>
  <si>
    <t>Retained Earnings (addition to Reserves)</t>
  </si>
  <si>
    <t>ASSETS</t>
  </si>
  <si>
    <t>Net Fixed Assets (incl. CWIP)</t>
  </si>
  <si>
    <t>Investments &amp; Cash Equivalents</t>
  </si>
  <si>
    <t>Other Current Assets (Receivables+Inventory+Other)</t>
  </si>
  <si>
    <t>TOTAL ASSETS</t>
  </si>
  <si>
    <t>EQUITY &amp; LIABILITIES</t>
  </si>
  <si>
    <t>Equity Share Capital</t>
  </si>
  <si>
    <t>Reserves &amp; Surplus</t>
  </si>
  <si>
    <t>Net Worth</t>
  </si>
  <si>
    <t>Borrowings</t>
  </si>
  <si>
    <t>Other Liabilities (Payables + Provisions + Other)</t>
  </si>
  <si>
    <t>TOTAL EQUITY &amp; LIABILITIES</t>
  </si>
  <si>
    <t>Balance Check (Assets - Liab&amp;Equity)</t>
  </si>
  <si>
    <t>WORKING CAPITAL SCHEDULE (drives Cash Flow forecast)</t>
  </si>
  <si>
    <t>Trade Receivables</t>
  </si>
  <si>
    <t>Inventory</t>
  </si>
  <si>
    <t>Trade Payables</t>
  </si>
  <si>
    <t>Net Working Capital</t>
  </si>
  <si>
    <t>Change in Net Working Capital</t>
  </si>
  <si>
    <t>n.a.</t>
  </si>
  <si>
    <t>Cash Flow from Operating Activities</t>
  </si>
  <si>
    <t>Cash Flow from Investing Activities</t>
  </si>
  <si>
    <t>Cash Flow from Financing Activities</t>
  </si>
  <si>
    <t>Net Change in Cash / Investments</t>
  </si>
  <si>
    <t>Memo: Free Cash Flow to Firm (for DCF)</t>
  </si>
  <si>
    <t>DCF VALUATION — FCFF METHODOLOGY (Rs. Crore unless stated)</t>
  </si>
  <si>
    <t>Cost of Equity (CAPM)</t>
  </si>
  <si>
    <t>Risk-Free Rate</t>
  </si>
  <si>
    <t>Beta (Levered)</t>
  </si>
  <si>
    <t>Equity Risk Premium</t>
  </si>
  <si>
    <t>Cost of Equity (Ke)</t>
  </si>
  <si>
    <t>Cost of Debt &amp; WACC</t>
  </si>
  <si>
    <t>Effective Tax Rate</t>
  </si>
  <si>
    <t>After-tax Cost of Debt</t>
  </si>
  <si>
    <t>Market Cap (E) [Shares x CMP]</t>
  </si>
  <si>
    <t>Total Debt (D) [FY26]</t>
  </si>
  <si>
    <t>Weight of Equity</t>
  </si>
  <si>
    <t>Weight of Debt</t>
  </si>
  <si>
    <t>WACC</t>
  </si>
  <si>
    <t>FCFF Projections &amp; Discounting</t>
  </si>
  <si>
    <t>FCFF</t>
  </si>
  <si>
    <t>Discount Period (t)</t>
  </si>
  <si>
    <t>Discount Factor</t>
  </si>
  <si>
    <t>PV of FCFF</t>
  </si>
  <si>
    <t>Valuation Summary</t>
  </si>
  <si>
    <t>Sum of PV of Explicit FCFF (FY27E-31E)</t>
  </si>
  <si>
    <t>Terminal Value (end of FY31E)</t>
  </si>
  <si>
    <t>PV of Terminal Value</t>
  </si>
  <si>
    <t>Enterprise Value</t>
  </si>
  <si>
    <t>Less: Total Debt (FY26)</t>
  </si>
  <si>
    <t>Add: Investments &amp; Cash Equivalents (FY26)</t>
  </si>
  <si>
    <t>Equity Value</t>
  </si>
  <si>
    <t>DCF Value per Share (Rs.)</t>
  </si>
  <si>
    <t>Current Market Price (CMP)</t>
  </si>
  <si>
    <t>Upside / (Downside)</t>
  </si>
  <si>
    <t>SENSITIVITY ANALYSIS — Value per Share (Rs.)</t>
  </si>
  <si>
    <t>Terminal Growth \ WACC</t>
  </si>
  <si>
    <t>RELATIVE VALUATION — LISTED FMCG PEER SET</t>
  </si>
  <si>
    <t>Peer multiples are indicative ranges based on news/market commentary reviewed (July 2026); exact live multiples require a Bloomberg/Refinitiv terminal and should be refreshed at submission time.</t>
  </si>
  <si>
    <t>Company</t>
  </si>
  <si>
    <t>Approx. P/E (x)</t>
  </si>
  <si>
    <t>Approx. EV/EBITDA (x)</t>
  </si>
  <si>
    <t>Approx. P/S (x)</t>
  </si>
  <si>
    <t>Hindustan Unilever</t>
  </si>
  <si>
    <t>Nestle India</t>
  </si>
  <si>
    <t>Colgate-Palmolive India</t>
  </si>
  <si>
    <t>Marico</t>
  </si>
  <si>
    <t>Godrej Consumer Products</t>
  </si>
  <si>
    <t>Peer Average</t>
  </si>
  <si>
    <t>Dabur India (Current, TTM)</t>
  </si>
  <si>
    <t>IMPLIED VALUATION FROM PEER MULTIPLES</t>
  </si>
  <si>
    <t>Dabur FY27E EPS (Rs.)</t>
  </si>
  <si>
    <t>Dabur FY27E EBITDA (Rs. Cr)</t>
  </si>
  <si>
    <t>Dabur FY27E Revenue (Rs. Cr)</t>
  </si>
  <si>
    <t>Implied Price — Peer Avg. P/E x FY27E EPS</t>
  </si>
  <si>
    <t>Implied EV — Peer Avg. EV/EBITDA x FY27E EBITDA</t>
  </si>
  <si>
    <t xml:space="preserve">  Less: Debt / Add: Investments (FY26)</t>
  </si>
  <si>
    <t>Implied Equity Value / Share — EV/EBITDA basis</t>
  </si>
  <si>
    <t>Implied Price — Peer Avg. P/S x FY27E Revenue / Share</t>
  </si>
  <si>
    <t>Blended Relative Valuation (avg. of 3 methods)</t>
  </si>
  <si>
    <t>PROFITABILITY RATIOS</t>
  </si>
  <si>
    <t>EBIT Margin %</t>
  </si>
  <si>
    <t>Net Profit Margin %</t>
  </si>
  <si>
    <t>Return on Equity (ROE) %</t>
  </si>
  <si>
    <t>Return on Capital Employed (ROCE) %</t>
  </si>
  <si>
    <t>LIQUIDITY &amp; LEVERAGE RATIOS</t>
  </si>
  <si>
    <t>Debt / Equity (x)</t>
  </si>
  <si>
    <t>Interest Coverage (x)</t>
  </si>
  <si>
    <t>TURNOVER / WORKING CAPITAL RATIOS</t>
  </si>
  <si>
    <t>Asset Turnover (x)</t>
  </si>
  <si>
    <t>PER-SHARE &amp; VALUATION RATIOS</t>
  </si>
  <si>
    <t>Book Value per Share (Rs.)</t>
  </si>
  <si>
    <t>P/E at CMP (x)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</si>
</sst>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0.0%;\(0.0%\);\-"/>
    <numFmt numFmtId="166" formatCode="0.000"/>
    <numFmt numFmtId="167" formatCode="0.0"/>
    <numFmt numFmtId="168" formatCode="0.0\x"/>
  </numFmts>
  <fonts count="1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i/>
      <sz val="8"/>
      <color rgb="FF808080"/>
      <name val="Arial"/>
      <family val="2"/>
    </font>
    <font>
      <sz val="11"/>
      <color rgb="FF008000"/>
      <name val="Arial"/>
      <family val="2"/>
    </font>
    <font>
      <i/>
      <sz val="11"/>
      <name val="Arial"/>
      <family val="2"/>
    </font>
    <font>
      <b/>
      <sz val="13"/>
      <name val="Arial"/>
      <family val="2"/>
    </font>
    <font>
      <b/>
      <sz val="11"/>
      <color rgb="FFC00000"/>
      <name val="Arial"/>
      <family val="2"/>
    </font>
    <font>
      <b/>
      <i/>
      <sz val="11"/>
      <name val="Arial"/>
      <family val="2"/>
    </font>
    <font>
      <b/>
      <sz val="22"/>
      <name val="Arial"/>
      <family val="2"/>
    </font>
    <font>
      <sz val="11"/>
      <name val="Calibri"/>
      <family val="2"/>
      <charset val="1"/>
    </font>
    <font>
      <sz val="13"/>
      <name val="Arial"/>
      <family val="2"/>
    </font>
    <font>
      <b/>
      <sz val="12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5" fillId="0" borderId="0" xfId="0" applyFont="1"/>
    <xf numFmtId="164" fontId="6" fillId="0" borderId="0" xfId="0" applyNumberFormat="1" applyFont="1"/>
    <xf numFmtId="0" fontId="7" fillId="0" borderId="0" xfId="0" applyFont="1"/>
    <xf numFmtId="2" fontId="6" fillId="0" borderId="0" xfId="0" applyNumberFormat="1" applyFont="1"/>
    <xf numFmtId="165" fontId="6" fillId="0" borderId="0" xfId="0" applyNumberFormat="1" applyFont="1"/>
    <xf numFmtId="1" fontId="6" fillId="0" borderId="0" xfId="0" applyNumberFormat="1" applyFont="1"/>
    <xf numFmtId="0" fontId="4" fillId="0" borderId="0" xfId="0" applyFont="1"/>
    <xf numFmtId="164" fontId="8" fillId="0" borderId="0" xfId="0" applyNumberFormat="1" applyFont="1"/>
    <xf numFmtId="164" fontId="2" fillId="0" borderId="0" xfId="0" applyNumberFormat="1" applyFont="1"/>
    <xf numFmtId="0" fontId="9" fillId="0" borderId="0" xfId="0" applyFont="1"/>
    <xf numFmtId="165" fontId="2" fillId="0" borderId="0" xfId="0" applyNumberFormat="1" applyFont="1"/>
    <xf numFmtId="2" fontId="2" fillId="0" borderId="0" xfId="0" applyNumberFormat="1" applyFont="1"/>
    <xf numFmtId="164" fontId="4" fillId="0" borderId="0" xfId="0" applyNumberFormat="1" applyFont="1"/>
    <xf numFmtId="0" fontId="10" fillId="0" borderId="0" xfId="0" applyFont="1"/>
    <xf numFmtId="165" fontId="8" fillId="0" borderId="0" xfId="0" applyNumberFormat="1" applyFont="1"/>
    <xf numFmtId="2" fontId="8" fillId="0" borderId="0" xfId="0" applyNumberFormat="1" applyFont="1"/>
    <xf numFmtId="165" fontId="4" fillId="0" borderId="0" xfId="0" applyNumberFormat="1" applyFont="1"/>
    <xf numFmtId="166" fontId="2" fillId="0" borderId="0" xfId="0" applyNumberFormat="1" applyFont="1"/>
    <xf numFmtId="2" fontId="11" fillId="0" borderId="0" xfId="0" applyNumberFormat="1" applyFont="1"/>
    <xf numFmtId="0" fontId="12" fillId="0" borderId="0" xfId="0" applyFont="1"/>
    <xf numFmtId="167" fontId="2" fillId="0" borderId="0" xfId="0" applyNumberFormat="1" applyFont="1"/>
    <xf numFmtId="0" fontId="3" fillId="2" borderId="0" xfId="0" applyFont="1" applyFill="1" applyAlignment="1">
      <alignment horizontal="center" wrapText="1"/>
    </xf>
    <xf numFmtId="0" fontId="6" fillId="0" borderId="0" xfId="0" applyFont="1"/>
    <xf numFmtId="168" fontId="6" fillId="0" borderId="0" xfId="0" applyNumberFormat="1" applyFont="1"/>
    <xf numFmtId="168" fontId="2" fillId="0" borderId="0" xfId="0" applyNumberFormat="1" applyFont="1"/>
    <xf numFmtId="0" fontId="11" fillId="0" borderId="0" xfId="0" applyFont="1"/>
    <xf numFmtId="168" fontId="8" fillId="0" borderId="0" xfId="0" applyNumberFormat="1" applyFont="1"/>
    <xf numFmtId="1" fontId="2" fillId="0" borderId="0" xfId="0" applyNumberFormat="1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" fillId="0" borderId="0" xfId="0" applyFont="1"/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27"/>
  <sheetViews>
    <sheetView tabSelected="1" zoomScaleNormal="100" workbookViewId="0">
      <selection activeCell="A11" sqref="A11"/>
    </sheetView>
  </sheetViews>
  <sheetFormatPr defaultColWidth="8.7109375" defaultRowHeight="15" x14ac:dyDescent="0.25"/>
  <cols>
    <col min="1" max="1" width="105" style="34" customWidth="1"/>
    <col min="2" max="16384" width="8.7109375" style="34"/>
  </cols>
  <sheetData>
    <row r="2" spans="1:1" ht="27.75" x14ac:dyDescent="0.4">
      <c r="A2" s="33" t="s">
        <v>0</v>
      </c>
    </row>
    <row r="3" spans="1:1" ht="16.5" x14ac:dyDescent="0.25">
      <c r="A3" s="35" t="s">
        <v>1</v>
      </c>
    </row>
    <row r="4" spans="1:1" x14ac:dyDescent="0.25">
      <c r="A4" s="5" t="s">
        <v>2</v>
      </c>
    </row>
    <row r="5" spans="1:1" x14ac:dyDescent="0.25">
      <c r="A5" s="5"/>
    </row>
    <row r="6" spans="1:1" ht="15.75" x14ac:dyDescent="0.25">
      <c r="A6" s="36" t="s">
        <v>3</v>
      </c>
    </row>
    <row r="7" spans="1:1" x14ac:dyDescent="0.25">
      <c r="A7" s="5"/>
    </row>
    <row r="8" spans="1:1" ht="16.5" x14ac:dyDescent="0.25">
      <c r="A8" s="18" t="s">
        <v>4</v>
      </c>
    </row>
    <row r="9" spans="1:1" x14ac:dyDescent="0.25">
      <c r="A9" s="37" t="s">
        <v>5</v>
      </c>
    </row>
    <row r="10" spans="1:1" x14ac:dyDescent="0.25">
      <c r="A10" s="37" t="s">
        <v>6</v>
      </c>
    </row>
    <row r="11" spans="1:1" x14ac:dyDescent="0.25">
      <c r="A11" s="37" t="s">
        <v>7</v>
      </c>
    </row>
    <row r="12" spans="1:1" x14ac:dyDescent="0.25">
      <c r="A12" s="37" t="s">
        <v>8</v>
      </c>
    </row>
    <row r="13" spans="1:1" x14ac:dyDescent="0.25">
      <c r="A13" s="37" t="s">
        <v>9</v>
      </c>
    </row>
    <row r="14" spans="1:1" x14ac:dyDescent="0.25">
      <c r="A14" s="37" t="s">
        <v>10</v>
      </c>
    </row>
    <row r="15" spans="1:1" x14ac:dyDescent="0.25">
      <c r="A15" s="37" t="s">
        <v>11</v>
      </c>
    </row>
    <row r="16" spans="1:1" x14ac:dyDescent="0.25">
      <c r="A16" s="5"/>
    </row>
    <row r="17" spans="1:1" ht="16.5" x14ac:dyDescent="0.25">
      <c r="A17" s="18" t="s">
        <v>12</v>
      </c>
    </row>
    <row r="18" spans="1:1" x14ac:dyDescent="0.25">
      <c r="A18" s="37" t="s">
        <v>13</v>
      </c>
    </row>
    <row r="19" spans="1:1" x14ac:dyDescent="0.25">
      <c r="A19" s="37" t="s">
        <v>14</v>
      </c>
    </row>
    <row r="20" spans="1:1" x14ac:dyDescent="0.25">
      <c r="A20" s="37" t="s">
        <v>15</v>
      </c>
    </row>
    <row r="21" spans="1:1" x14ac:dyDescent="0.25">
      <c r="A21" s="37" t="s">
        <v>16</v>
      </c>
    </row>
    <row r="22" spans="1:1" x14ac:dyDescent="0.25">
      <c r="A22" s="37" t="s">
        <v>17</v>
      </c>
    </row>
    <row r="23" spans="1:1" x14ac:dyDescent="0.25">
      <c r="A23" s="37" t="s">
        <v>18</v>
      </c>
    </row>
    <row r="24" spans="1:1" x14ac:dyDescent="0.25">
      <c r="A24" s="37" t="s">
        <v>19</v>
      </c>
    </row>
    <row r="25" spans="1:1" x14ac:dyDescent="0.25">
      <c r="A25" s="5"/>
    </row>
    <row r="26" spans="1:1" x14ac:dyDescent="0.25">
      <c r="A26" s="38" t="s">
        <v>20</v>
      </c>
    </row>
    <row r="27" spans="1:1" x14ac:dyDescent="0.25">
      <c r="A27" s="38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zoomScaleNormal="100" workbookViewId="0"/>
  </sheetViews>
  <sheetFormatPr defaultColWidth="8.7109375" defaultRowHeight="15" x14ac:dyDescent="0.25"/>
  <cols>
    <col min="1" max="1" width="40" customWidth="1"/>
    <col min="2" max="11" width="11" customWidth="1"/>
  </cols>
  <sheetData>
    <row r="1" spans="1:13" x14ac:dyDescent="0.25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</row>
    <row r="3" spans="1:13" x14ac:dyDescent="0.25">
      <c r="A3" s="3" t="s">
        <v>33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3" x14ac:dyDescent="0.25">
      <c r="A4" s="5" t="s">
        <v>34</v>
      </c>
      <c r="B4" s="6">
        <v>10888.68</v>
      </c>
      <c r="C4" s="6">
        <v>11529.89</v>
      </c>
      <c r="D4" s="6">
        <v>12404.01</v>
      </c>
      <c r="E4" s="6">
        <v>12563.1</v>
      </c>
      <c r="F4" s="6">
        <v>13192.57</v>
      </c>
      <c r="M4" s="7" t="s">
        <v>35</v>
      </c>
    </row>
    <row r="5" spans="1:13" x14ac:dyDescent="0.25">
      <c r="A5" s="5" t="s">
        <v>36</v>
      </c>
      <c r="B5" s="6">
        <v>2164</v>
      </c>
      <c r="C5" s="6">
        <v>2254</v>
      </c>
      <c r="D5" s="6">
        <v>2400</v>
      </c>
      <c r="E5" s="6">
        <v>2317</v>
      </c>
      <c r="F5" s="6">
        <v>2507</v>
      </c>
      <c r="M5" s="7" t="s">
        <v>37</v>
      </c>
    </row>
    <row r="6" spans="1:13" x14ac:dyDescent="0.25">
      <c r="A6" s="5" t="s">
        <v>38</v>
      </c>
      <c r="B6" s="6">
        <v>1744</v>
      </c>
      <c r="C6" s="6">
        <v>1707.15</v>
      </c>
      <c r="D6" s="6">
        <v>1842.68</v>
      </c>
      <c r="E6" s="6">
        <v>1768</v>
      </c>
      <c r="F6" s="6">
        <v>1868.69</v>
      </c>
      <c r="M6" s="7" t="s">
        <v>39</v>
      </c>
    </row>
    <row r="7" spans="1:13" x14ac:dyDescent="0.25">
      <c r="A7" s="5" t="s">
        <v>40</v>
      </c>
      <c r="C7" s="6">
        <v>9.6</v>
      </c>
      <c r="D7" s="6">
        <v>9.6</v>
      </c>
      <c r="E7" s="6">
        <v>10</v>
      </c>
      <c r="F7" s="6">
        <v>10.66</v>
      </c>
      <c r="M7" s="7" t="s">
        <v>41</v>
      </c>
    </row>
    <row r="8" spans="1:13" x14ac:dyDescent="0.25">
      <c r="A8" s="5" t="s">
        <v>42</v>
      </c>
      <c r="C8" s="6">
        <v>5.2</v>
      </c>
      <c r="D8" s="6">
        <v>5.2</v>
      </c>
      <c r="E8" s="6">
        <v>8</v>
      </c>
      <c r="F8" s="6">
        <v>5.5</v>
      </c>
      <c r="M8" s="7" t="s">
        <v>43</v>
      </c>
    </row>
    <row r="9" spans="1:13" x14ac:dyDescent="0.25">
      <c r="A9" s="5" t="s">
        <v>44</v>
      </c>
      <c r="C9" s="6">
        <v>47.4</v>
      </c>
      <c r="D9" s="6">
        <v>50.6</v>
      </c>
      <c r="E9" s="6">
        <v>61</v>
      </c>
      <c r="M9" s="7" t="s">
        <v>45</v>
      </c>
    </row>
    <row r="10" spans="1:13" x14ac:dyDescent="0.25">
      <c r="A10" s="5" t="s">
        <v>46</v>
      </c>
      <c r="B10" s="8">
        <v>176.8</v>
      </c>
      <c r="C10" s="8">
        <v>176.8</v>
      </c>
      <c r="D10" s="8">
        <v>177.2</v>
      </c>
      <c r="E10" s="8">
        <v>177.23</v>
      </c>
      <c r="F10" s="8">
        <v>177.23</v>
      </c>
      <c r="M10" s="7" t="s">
        <v>47</v>
      </c>
    </row>
    <row r="12" spans="1:13" x14ac:dyDescent="0.25">
      <c r="A12" s="3" t="s">
        <v>48</v>
      </c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3" x14ac:dyDescent="0.25">
      <c r="A13" s="5" t="s">
        <v>49</v>
      </c>
      <c r="G13" s="9">
        <v>0.08</v>
      </c>
      <c r="H13" s="9">
        <v>0.09</v>
      </c>
      <c r="I13" s="9">
        <v>0.1</v>
      </c>
      <c r="J13" s="9">
        <v>0.1</v>
      </c>
      <c r="K13" s="9">
        <v>0.1</v>
      </c>
      <c r="M13" s="7" t="s">
        <v>50</v>
      </c>
    </row>
    <row r="14" spans="1:13" x14ac:dyDescent="0.25">
      <c r="A14" s="5" t="s">
        <v>51</v>
      </c>
      <c r="G14" s="9">
        <v>0.19500000000000001</v>
      </c>
      <c r="H14" s="9">
        <v>0.2</v>
      </c>
      <c r="I14" s="9">
        <v>0.20499999999999999</v>
      </c>
      <c r="J14" s="9">
        <v>0.21</v>
      </c>
      <c r="K14" s="9">
        <v>0.21</v>
      </c>
      <c r="M14" s="7" t="s">
        <v>52</v>
      </c>
    </row>
    <row r="15" spans="1:13" x14ac:dyDescent="0.25">
      <c r="A15" s="5" t="s">
        <v>53</v>
      </c>
      <c r="B15" s="9">
        <v>2.3E-2</v>
      </c>
      <c r="C15" s="9">
        <v>2.7E-2</v>
      </c>
      <c r="D15" s="9">
        <v>3.1E-2</v>
      </c>
      <c r="E15" s="9">
        <v>3.5000000000000003E-2</v>
      </c>
      <c r="F15" s="9">
        <v>3.5999999999999997E-2</v>
      </c>
      <c r="G15" s="9">
        <v>3.5999999999999997E-2</v>
      </c>
      <c r="H15" s="9">
        <v>3.5999999999999997E-2</v>
      </c>
      <c r="I15" s="9">
        <v>3.5999999999999997E-2</v>
      </c>
      <c r="J15" s="9">
        <v>3.5999999999999997E-2</v>
      </c>
      <c r="K15" s="9">
        <v>3.5999999999999997E-2</v>
      </c>
      <c r="M15" s="7" t="s">
        <v>54</v>
      </c>
    </row>
    <row r="16" spans="1:13" x14ac:dyDescent="0.25">
      <c r="A16" s="5" t="s">
        <v>55</v>
      </c>
      <c r="G16" s="9">
        <v>0.23</v>
      </c>
      <c r="H16" s="9">
        <v>0.23</v>
      </c>
      <c r="I16" s="9">
        <v>0.23</v>
      </c>
      <c r="J16" s="9">
        <v>0.23</v>
      </c>
      <c r="K16" s="9">
        <v>0.23</v>
      </c>
      <c r="M16" s="7" t="s">
        <v>56</v>
      </c>
    </row>
    <row r="17" spans="1:13" x14ac:dyDescent="0.25">
      <c r="A17" s="5" t="s">
        <v>57</v>
      </c>
      <c r="G17" s="9">
        <v>0.09</v>
      </c>
      <c r="H17" s="9">
        <v>0.09</v>
      </c>
      <c r="I17" s="9">
        <v>0.09</v>
      </c>
      <c r="J17" s="9">
        <v>0.09</v>
      </c>
      <c r="K17" s="9">
        <v>0.09</v>
      </c>
      <c r="M17" s="7" t="s">
        <v>58</v>
      </c>
    </row>
    <row r="18" spans="1:13" x14ac:dyDescent="0.25">
      <c r="A18" s="5" t="s">
        <v>59</v>
      </c>
      <c r="G18" s="9">
        <v>4.4999999999999998E-2</v>
      </c>
      <c r="H18" s="9">
        <v>4.4999999999999998E-2</v>
      </c>
      <c r="I18" s="9">
        <v>4.4999999999999998E-2</v>
      </c>
      <c r="J18" s="9">
        <v>4.4999999999999998E-2</v>
      </c>
      <c r="K18" s="9">
        <v>4.4999999999999998E-2</v>
      </c>
      <c r="M18" s="7" t="s">
        <v>60</v>
      </c>
    </row>
    <row r="19" spans="1:13" x14ac:dyDescent="0.25">
      <c r="A19" s="5" t="s">
        <v>61</v>
      </c>
      <c r="G19" s="10">
        <v>24</v>
      </c>
      <c r="H19" s="10">
        <v>24</v>
      </c>
      <c r="I19" s="10">
        <v>24</v>
      </c>
      <c r="J19" s="10">
        <v>24</v>
      </c>
      <c r="K19" s="10">
        <v>24</v>
      </c>
      <c r="M19" s="7" t="s">
        <v>62</v>
      </c>
    </row>
    <row r="20" spans="1:13" x14ac:dyDescent="0.25">
      <c r="A20" s="5" t="s">
        <v>63</v>
      </c>
      <c r="G20" s="10">
        <v>150</v>
      </c>
      <c r="H20" s="10">
        <v>150</v>
      </c>
      <c r="I20" s="10">
        <v>150</v>
      </c>
      <c r="J20" s="10">
        <v>150</v>
      </c>
      <c r="K20" s="10">
        <v>150</v>
      </c>
      <c r="M20" s="7" t="s">
        <v>64</v>
      </c>
    </row>
    <row r="21" spans="1:13" x14ac:dyDescent="0.25">
      <c r="A21" s="5" t="s">
        <v>65</v>
      </c>
      <c r="G21" s="10">
        <v>95</v>
      </c>
      <c r="H21" s="10">
        <v>95</v>
      </c>
      <c r="I21" s="10">
        <v>95</v>
      </c>
      <c r="J21" s="10">
        <v>95</v>
      </c>
      <c r="K21" s="10">
        <v>95</v>
      </c>
      <c r="M21" s="7" t="s">
        <v>66</v>
      </c>
    </row>
    <row r="22" spans="1:13" x14ac:dyDescent="0.25">
      <c r="A22" s="5" t="s">
        <v>67</v>
      </c>
      <c r="G22" s="9">
        <v>0.55000000000000004</v>
      </c>
      <c r="H22" s="9">
        <v>0.55000000000000004</v>
      </c>
      <c r="I22" s="9">
        <v>0.55000000000000004</v>
      </c>
      <c r="J22" s="9">
        <v>0.55000000000000004</v>
      </c>
      <c r="K22" s="9">
        <v>0.55000000000000004</v>
      </c>
      <c r="M22" s="7" t="s">
        <v>68</v>
      </c>
    </row>
    <row r="24" spans="1:13" x14ac:dyDescent="0.25">
      <c r="A24" s="3" t="s">
        <v>69</v>
      </c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3" x14ac:dyDescent="0.25">
      <c r="A25" t="s">
        <v>70</v>
      </c>
      <c r="B25" s="9">
        <v>6.6000000000000003E-2</v>
      </c>
    </row>
    <row r="26" spans="1:13" x14ac:dyDescent="0.25">
      <c r="A26" t="s">
        <v>71</v>
      </c>
      <c r="B26" s="8">
        <v>0.55000000000000004</v>
      </c>
    </row>
    <row r="27" spans="1:13" x14ac:dyDescent="0.25">
      <c r="A27" t="s">
        <v>72</v>
      </c>
      <c r="B27" s="9">
        <v>7.0000000000000007E-2</v>
      </c>
    </row>
    <row r="28" spans="1:13" x14ac:dyDescent="0.25">
      <c r="A28" t="s">
        <v>73</v>
      </c>
      <c r="B28" s="9">
        <v>7.4999999999999997E-2</v>
      </c>
    </row>
    <row r="29" spans="1:13" x14ac:dyDescent="0.25">
      <c r="A29" t="s">
        <v>74</v>
      </c>
      <c r="B29" s="9">
        <v>0.05</v>
      </c>
    </row>
    <row r="30" spans="1:13" x14ac:dyDescent="0.25">
      <c r="A30" t="s">
        <v>75</v>
      </c>
      <c r="B30" s="8">
        <v>177.23</v>
      </c>
    </row>
    <row r="31" spans="1:13" x14ac:dyDescent="0.25">
      <c r="A31" t="s">
        <v>76</v>
      </c>
      <c r="B31" s="6">
        <v>480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zoomScaleNormal="100" workbookViewId="0"/>
  </sheetViews>
  <sheetFormatPr defaultColWidth="8.7109375" defaultRowHeight="15" x14ac:dyDescent="0.25"/>
  <cols>
    <col min="1" max="1" width="34" customWidth="1"/>
    <col min="2" max="11" width="11" customWidth="1"/>
  </cols>
  <sheetData>
    <row r="1" spans="1:11" x14ac:dyDescent="0.25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</row>
    <row r="3" spans="1:11" x14ac:dyDescent="0.25">
      <c r="A3" s="11" t="s">
        <v>77</v>
      </c>
      <c r="B3" s="12">
        <f>Assumptions!B4</f>
        <v>10888.68</v>
      </c>
      <c r="C3" s="12">
        <f>Assumptions!C4</f>
        <v>11529.89</v>
      </c>
      <c r="D3" s="12">
        <f>Assumptions!D4</f>
        <v>12404.01</v>
      </c>
      <c r="E3" s="12">
        <f>Assumptions!E4</f>
        <v>12563.1</v>
      </c>
      <c r="F3" s="12">
        <f>Assumptions!F4</f>
        <v>13192.57</v>
      </c>
      <c r="G3" s="13">
        <f>F3*(1+Assumptions!G13)</f>
        <v>14247.9756</v>
      </c>
      <c r="H3" s="13">
        <f>G3*(1+Assumptions!H13)</f>
        <v>15530.293404</v>
      </c>
      <c r="I3" s="13">
        <f>H3*(1+Assumptions!I13)</f>
        <v>17083.3227444</v>
      </c>
      <c r="J3" s="13">
        <f>I3*(1+Assumptions!J13)</f>
        <v>18791.655018840003</v>
      </c>
      <c r="K3" s="13">
        <f>J3*(1+Assumptions!K13)</f>
        <v>20670.820520724006</v>
      </c>
    </row>
    <row r="4" spans="1:11" x14ac:dyDescent="0.25">
      <c r="A4" s="14" t="s">
        <v>78</v>
      </c>
      <c r="C4" s="15">
        <f t="shared" ref="C4:K4" si="0">C3/B3-1</f>
        <v>5.8887762336665261E-2</v>
      </c>
      <c r="D4" s="15">
        <f t="shared" si="0"/>
        <v>7.5813385903941821E-2</v>
      </c>
      <c r="E4" s="15">
        <f t="shared" si="0"/>
        <v>1.2825691046685739E-2</v>
      </c>
      <c r="F4" s="15">
        <f t="shared" si="0"/>
        <v>5.0104671617673846E-2</v>
      </c>
      <c r="G4" s="15">
        <f t="shared" si="0"/>
        <v>8.0000000000000071E-2</v>
      </c>
      <c r="H4" s="15">
        <f t="shared" si="0"/>
        <v>9.000000000000008E-2</v>
      </c>
      <c r="I4" s="15">
        <f t="shared" si="0"/>
        <v>0.10000000000000009</v>
      </c>
      <c r="J4" s="15">
        <f t="shared" si="0"/>
        <v>0.10000000000000009</v>
      </c>
      <c r="K4" s="15">
        <f t="shared" si="0"/>
        <v>0.10000000000000009</v>
      </c>
    </row>
    <row r="6" spans="1:11" x14ac:dyDescent="0.25">
      <c r="A6" s="11" t="s">
        <v>79</v>
      </c>
      <c r="B6" s="12">
        <f>Assumptions!B5</f>
        <v>2164</v>
      </c>
      <c r="C6" s="12">
        <f>Assumptions!C5</f>
        <v>2254</v>
      </c>
      <c r="D6" s="12">
        <f>Assumptions!D5</f>
        <v>2400</v>
      </c>
      <c r="E6" s="12">
        <f>Assumptions!E5</f>
        <v>2317</v>
      </c>
      <c r="F6" s="12">
        <f>Assumptions!F5</f>
        <v>2507</v>
      </c>
      <c r="G6" s="13">
        <f>G3*Assumptions!G14</f>
        <v>2778.3552420000001</v>
      </c>
      <c r="H6" s="13">
        <f>H3*Assumptions!H14</f>
        <v>3106.0586808000003</v>
      </c>
      <c r="I6" s="13">
        <f>I3*Assumptions!I14</f>
        <v>3502.0811626019999</v>
      </c>
      <c r="J6" s="13">
        <f>J3*Assumptions!J14</f>
        <v>3946.2475539564007</v>
      </c>
      <c r="K6" s="13">
        <f>K3*Assumptions!K14</f>
        <v>4340.8723093520412</v>
      </c>
    </row>
    <row r="7" spans="1:11" x14ac:dyDescent="0.25">
      <c r="A7" s="14" t="s">
        <v>51</v>
      </c>
      <c r="B7" s="15">
        <f t="shared" ref="B7:K7" si="1">B6/B3</f>
        <v>0.19873850641216381</v>
      </c>
      <c r="C7" s="15">
        <f t="shared" si="1"/>
        <v>0.19549189107615078</v>
      </c>
      <c r="D7" s="15">
        <f t="shared" si="1"/>
        <v>0.19348581628038028</v>
      </c>
      <c r="E7" s="15">
        <f t="shared" si="1"/>
        <v>0.18442900239590546</v>
      </c>
      <c r="F7" s="15">
        <f t="shared" si="1"/>
        <v>0.19003120695967504</v>
      </c>
      <c r="G7" s="15">
        <f t="shared" si="1"/>
        <v>0.19500000000000001</v>
      </c>
      <c r="H7" s="15">
        <f t="shared" si="1"/>
        <v>0.2</v>
      </c>
      <c r="I7" s="15">
        <f t="shared" si="1"/>
        <v>0.20499999999999999</v>
      </c>
      <c r="J7" s="15">
        <f t="shared" si="1"/>
        <v>0.21</v>
      </c>
      <c r="K7" s="15">
        <f t="shared" si="1"/>
        <v>0.21</v>
      </c>
    </row>
    <row r="8" spans="1:11" x14ac:dyDescent="0.25">
      <c r="A8" s="1" t="s">
        <v>80</v>
      </c>
      <c r="B8" s="13">
        <f>B3*Assumptions!B15</f>
        <v>250.43964</v>
      </c>
      <c r="C8" s="13">
        <f>C3*Assumptions!C15</f>
        <v>311.30703</v>
      </c>
      <c r="D8" s="13">
        <f>D3*Assumptions!D15</f>
        <v>384.52431000000001</v>
      </c>
      <c r="E8" s="13">
        <f>E3*Assumptions!E15</f>
        <v>439.70850000000007</v>
      </c>
      <c r="F8" s="13">
        <f>F3*Assumptions!F15</f>
        <v>474.93251999999995</v>
      </c>
      <c r="G8" s="13">
        <f>G3*Assumptions!G15</f>
        <v>512.92712159999996</v>
      </c>
      <c r="H8" s="13">
        <f>H3*Assumptions!H15</f>
        <v>559.09056254399991</v>
      </c>
      <c r="I8" s="13">
        <f>I3*Assumptions!I15</f>
        <v>614.99961879839998</v>
      </c>
      <c r="J8" s="13">
        <f>J3*Assumptions!J15</f>
        <v>676.49958067824002</v>
      </c>
      <c r="K8" s="13">
        <f>K3*Assumptions!K15</f>
        <v>744.1495387460642</v>
      </c>
    </row>
    <row r="9" spans="1:11" x14ac:dyDescent="0.25">
      <c r="A9" s="11" t="s">
        <v>81</v>
      </c>
      <c r="B9" s="13">
        <f t="shared" ref="B9:K9" si="2">B6-B8</f>
        <v>1913.5603599999999</v>
      </c>
      <c r="C9" s="13">
        <f t="shared" si="2"/>
        <v>1942.6929700000001</v>
      </c>
      <c r="D9" s="13">
        <f t="shared" si="2"/>
        <v>2015.47569</v>
      </c>
      <c r="E9" s="13">
        <f t="shared" si="2"/>
        <v>1877.2914999999998</v>
      </c>
      <c r="F9" s="13">
        <f t="shared" si="2"/>
        <v>2032.0674800000002</v>
      </c>
      <c r="G9" s="13">
        <f t="shared" si="2"/>
        <v>2265.4281203999999</v>
      </c>
      <c r="H9" s="13">
        <f t="shared" si="2"/>
        <v>2546.9681182560003</v>
      </c>
      <c r="I9" s="13">
        <f t="shared" si="2"/>
        <v>2887.0815438035997</v>
      </c>
      <c r="J9" s="13">
        <f t="shared" si="2"/>
        <v>3269.7479732781608</v>
      </c>
      <c r="K9" s="13">
        <f t="shared" si="2"/>
        <v>3596.7227706059771</v>
      </c>
    </row>
    <row r="10" spans="1:11" x14ac:dyDescent="0.25">
      <c r="A10" s="1" t="s">
        <v>82</v>
      </c>
      <c r="B10" s="6">
        <v>350</v>
      </c>
      <c r="C10" s="13">
        <f t="shared" ref="C10:K10" si="3">B10*1.08</f>
        <v>378</v>
      </c>
      <c r="D10" s="13">
        <f t="shared" si="3"/>
        <v>408.24</v>
      </c>
      <c r="E10" s="13">
        <f t="shared" si="3"/>
        <v>440.89920000000006</v>
      </c>
      <c r="F10" s="13">
        <f t="shared" si="3"/>
        <v>476.1711360000001</v>
      </c>
      <c r="G10" s="13">
        <f t="shared" si="3"/>
        <v>514.2648268800001</v>
      </c>
      <c r="H10" s="13">
        <f t="shared" si="3"/>
        <v>555.40601303040012</v>
      </c>
      <c r="I10" s="13">
        <f t="shared" si="3"/>
        <v>599.83849407283219</v>
      </c>
      <c r="J10" s="13">
        <f t="shared" si="3"/>
        <v>647.82557359865882</v>
      </c>
      <c r="K10" s="13">
        <f t="shared" si="3"/>
        <v>699.65161948655157</v>
      </c>
    </row>
    <row r="11" spans="1:11" x14ac:dyDescent="0.25">
      <c r="A11" s="1" t="s">
        <v>83</v>
      </c>
      <c r="B11" s="6">
        <v>45</v>
      </c>
      <c r="C11" s="13">
        <f t="shared" ref="C11:K11" si="4">B11*1.05</f>
        <v>47.25</v>
      </c>
      <c r="D11" s="13">
        <f t="shared" si="4"/>
        <v>49.612500000000004</v>
      </c>
      <c r="E11" s="13">
        <f t="shared" si="4"/>
        <v>52.093125000000008</v>
      </c>
      <c r="F11" s="13">
        <f t="shared" si="4"/>
        <v>54.697781250000013</v>
      </c>
      <c r="G11" s="13">
        <f t="shared" si="4"/>
        <v>57.432670312500015</v>
      </c>
      <c r="H11" s="13">
        <f t="shared" si="4"/>
        <v>60.304303828125022</v>
      </c>
      <c r="I11" s="13">
        <f t="shared" si="4"/>
        <v>63.319519019531278</v>
      </c>
      <c r="J11" s="13">
        <f t="shared" si="4"/>
        <v>66.485494970507844</v>
      </c>
      <c r="K11" s="13">
        <f t="shared" si="4"/>
        <v>69.809769719033241</v>
      </c>
    </row>
    <row r="12" spans="1:11" x14ac:dyDescent="0.25">
      <c r="A12" s="11" t="s">
        <v>84</v>
      </c>
      <c r="B12" s="13">
        <f t="shared" ref="B12:K12" si="5">B9+B10-B11</f>
        <v>2218.5603599999999</v>
      </c>
      <c r="C12" s="13">
        <f t="shared" si="5"/>
        <v>2273.4429700000001</v>
      </c>
      <c r="D12" s="13">
        <f t="shared" si="5"/>
        <v>2374.1031899999998</v>
      </c>
      <c r="E12" s="13">
        <f t="shared" si="5"/>
        <v>2266.0975750000002</v>
      </c>
      <c r="F12" s="13">
        <f t="shared" si="5"/>
        <v>2453.5408347500002</v>
      </c>
      <c r="G12" s="13">
        <f t="shared" si="5"/>
        <v>2722.2602769675004</v>
      </c>
      <c r="H12" s="13">
        <f t="shared" si="5"/>
        <v>3042.0698274582755</v>
      </c>
      <c r="I12" s="13">
        <f t="shared" si="5"/>
        <v>3423.6005188569006</v>
      </c>
      <c r="J12" s="13">
        <f t="shared" si="5"/>
        <v>3851.0880519063121</v>
      </c>
      <c r="K12" s="13">
        <f t="shared" si="5"/>
        <v>4226.564620373495</v>
      </c>
    </row>
    <row r="13" spans="1:11" x14ac:dyDescent="0.25">
      <c r="A13" s="1" t="s">
        <v>85</v>
      </c>
      <c r="B13" s="12">
        <f>B12-Assumptions!B6</f>
        <v>474.56035999999995</v>
      </c>
      <c r="C13" s="12">
        <f>C12-Assumptions!C6</f>
        <v>566.29296999999997</v>
      </c>
      <c r="D13" s="12">
        <f>D12-Assumptions!D6</f>
        <v>531.42318999999975</v>
      </c>
      <c r="E13" s="12">
        <f>E12-Assumptions!E6</f>
        <v>498.09757500000023</v>
      </c>
      <c r="F13" s="12">
        <f>F12-Assumptions!F6</f>
        <v>584.8508347500001</v>
      </c>
      <c r="G13" s="13">
        <f>G12*Assumptions!G16</f>
        <v>626.11986370252509</v>
      </c>
      <c r="H13" s="13">
        <f>H12*Assumptions!H16</f>
        <v>699.67606031540345</v>
      </c>
      <c r="I13" s="13">
        <f>I12*Assumptions!I16</f>
        <v>787.4281193370872</v>
      </c>
      <c r="J13" s="13">
        <f>J12*Assumptions!J16</f>
        <v>885.75025193845181</v>
      </c>
      <c r="K13" s="13">
        <f>K12*Assumptions!K16</f>
        <v>972.10986268590386</v>
      </c>
    </row>
    <row r="14" spans="1:11" x14ac:dyDescent="0.25">
      <c r="A14" s="11" t="s">
        <v>86</v>
      </c>
      <c r="B14" s="12">
        <f>Assumptions!B6</f>
        <v>1744</v>
      </c>
      <c r="C14" s="12">
        <f>Assumptions!C6</f>
        <v>1707.15</v>
      </c>
      <c r="D14" s="12">
        <f>Assumptions!D6</f>
        <v>1842.68</v>
      </c>
      <c r="E14" s="12">
        <f>Assumptions!E6</f>
        <v>1768</v>
      </c>
      <c r="F14" s="12">
        <f>Assumptions!F6</f>
        <v>1868.69</v>
      </c>
      <c r="G14" s="13">
        <f>G12-G13</f>
        <v>2096.1404132649755</v>
      </c>
      <c r="H14" s="13">
        <f>H12-H13</f>
        <v>2342.3937671428721</v>
      </c>
      <c r="I14" s="13">
        <f>I12-I13</f>
        <v>2636.1723995198136</v>
      </c>
      <c r="J14" s="13">
        <f>J12-J13</f>
        <v>2965.3377999678605</v>
      </c>
      <c r="K14" s="13">
        <f>K12-K13</f>
        <v>3254.4547576875912</v>
      </c>
    </row>
    <row r="15" spans="1:11" x14ac:dyDescent="0.25">
      <c r="A15" s="1" t="s">
        <v>87</v>
      </c>
      <c r="B15" s="16">
        <f>B14/Assumptions!$B$30</f>
        <v>9.8403204875021171</v>
      </c>
      <c r="C15" s="16">
        <f>C14/Assumptions!$B$30</f>
        <v>9.6323985781188295</v>
      </c>
      <c r="D15" s="16">
        <f>D14/Assumptions!$B$30</f>
        <v>10.397111098572477</v>
      </c>
      <c r="E15" s="16">
        <f>E14/Assumptions!$B$30</f>
        <v>9.9757377419172837</v>
      </c>
      <c r="F15" s="16">
        <f>F14/Assumptions!$B$30</f>
        <v>10.543869548044915</v>
      </c>
      <c r="G15" s="16">
        <f>G14/Assumptions!$B$30</f>
        <v>11.827232484708997</v>
      </c>
      <c r="H15" s="16">
        <f>H14/Assumptions!$B$30</f>
        <v>13.216688862736964</v>
      </c>
      <c r="I15" s="16">
        <f>I14/Assumptions!$B$30</f>
        <v>14.874301187833966</v>
      </c>
      <c r="J15" s="16">
        <f>J14/Assumptions!$B$30</f>
        <v>16.731579303548276</v>
      </c>
      <c r="K15" s="16">
        <f>K14/Assumptions!$B$30</f>
        <v>18.362888662684597</v>
      </c>
    </row>
    <row r="16" spans="1:11" x14ac:dyDescent="0.25">
      <c r="A16" s="1" t="s">
        <v>88</v>
      </c>
      <c r="B16" s="13">
        <f>B14*Assumptions!B22</f>
        <v>0</v>
      </c>
      <c r="C16" s="13">
        <f>C14*Assumptions!C22</f>
        <v>0</v>
      </c>
      <c r="D16" s="13">
        <f>D14*Assumptions!D22</f>
        <v>0</v>
      </c>
      <c r="E16" s="13">
        <f>E14*Assumptions!E22</f>
        <v>0</v>
      </c>
      <c r="F16" s="13">
        <f>F14*Assumptions!F22</f>
        <v>0</v>
      </c>
      <c r="G16" s="13">
        <f>G14*Assumptions!G22</f>
        <v>1152.8772272957367</v>
      </c>
      <c r="H16" s="13">
        <f>H14*Assumptions!H22</f>
        <v>1288.3165719285798</v>
      </c>
      <c r="I16" s="13">
        <f>I14*Assumptions!I22</f>
        <v>1449.8948197358975</v>
      </c>
      <c r="J16" s="13">
        <f>J14*Assumptions!J22</f>
        <v>1630.9357899823235</v>
      </c>
      <c r="K16" s="13">
        <f>K14*Assumptions!K22</f>
        <v>1789.9501167281753</v>
      </c>
    </row>
    <row r="17" spans="1:11" x14ac:dyDescent="0.25">
      <c r="A17" s="1" t="s">
        <v>89</v>
      </c>
      <c r="B17" s="13">
        <f t="shared" ref="B17:K17" si="6">B14-B16</f>
        <v>1744</v>
      </c>
      <c r="C17" s="13">
        <f t="shared" si="6"/>
        <v>1707.15</v>
      </c>
      <c r="D17" s="13">
        <f t="shared" si="6"/>
        <v>1842.68</v>
      </c>
      <c r="E17" s="13">
        <f t="shared" si="6"/>
        <v>1768</v>
      </c>
      <c r="F17" s="13">
        <f t="shared" si="6"/>
        <v>1868.69</v>
      </c>
      <c r="G17" s="13">
        <f t="shared" si="6"/>
        <v>943.26318596923875</v>
      </c>
      <c r="H17" s="13">
        <f t="shared" si="6"/>
        <v>1054.0771952142923</v>
      </c>
      <c r="I17" s="13">
        <f t="shared" si="6"/>
        <v>1186.2775797839161</v>
      </c>
      <c r="J17" s="13">
        <f t="shared" si="6"/>
        <v>1334.402009985537</v>
      </c>
      <c r="K17" s="13">
        <f t="shared" si="6"/>
        <v>1464.5046409594158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3"/>
  <sheetViews>
    <sheetView zoomScaleNormal="100" workbookViewId="0"/>
  </sheetViews>
  <sheetFormatPr defaultColWidth="8.7109375" defaultRowHeight="15" x14ac:dyDescent="0.25"/>
  <cols>
    <col min="1" max="1" width="40" customWidth="1"/>
    <col min="2" max="11" width="11" customWidth="1"/>
  </cols>
  <sheetData>
    <row r="1" spans="1:11" x14ac:dyDescent="0.25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</row>
    <row r="3" spans="1:11" x14ac:dyDescent="0.25">
      <c r="A3" s="3" t="s">
        <v>90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25">
      <c r="A4" s="1" t="s">
        <v>91</v>
      </c>
      <c r="B4" s="6">
        <v>3900</v>
      </c>
      <c r="C4" s="6">
        <v>4150</v>
      </c>
      <c r="D4" s="6">
        <v>4450</v>
      </c>
      <c r="E4" s="6">
        <v>4750</v>
      </c>
      <c r="F4" s="6">
        <v>5100</v>
      </c>
      <c r="G4" s="12">
        <f>F4+'Income Statement'!G3*Assumptions!G18-'Income Statement'!G8</f>
        <v>5228.2317804000004</v>
      </c>
      <c r="H4" s="12">
        <f>G4+'Income Statement'!H3*Assumptions!H18-'Income Statement'!H8</f>
        <v>5368.0044210360002</v>
      </c>
      <c r="I4" s="12">
        <f>H4+'Income Statement'!I3*Assumptions!I18-'Income Statement'!I8</f>
        <v>5521.7543257356001</v>
      </c>
      <c r="J4" s="12">
        <f>I4+'Income Statement'!J3*Assumptions!J18-'Income Statement'!J8</f>
        <v>5690.8792209051599</v>
      </c>
      <c r="K4" s="12">
        <f>J4+'Income Statement'!K3*Assumptions!K18-'Income Statement'!K8</f>
        <v>5876.9166055916758</v>
      </c>
    </row>
    <row r="5" spans="1:11" x14ac:dyDescent="0.25">
      <c r="A5" s="1" t="s">
        <v>92</v>
      </c>
      <c r="B5" s="6">
        <v>2800</v>
      </c>
      <c r="C5" s="6">
        <v>3100</v>
      </c>
      <c r="D5" s="6">
        <v>3450</v>
      </c>
      <c r="E5" s="6">
        <v>3900</v>
      </c>
      <c r="F5" s="6">
        <v>4300</v>
      </c>
      <c r="G5" s="12">
        <f>F5+'Cash Flow Statement'!G6</f>
        <v>4963.490298473349</v>
      </c>
      <c r="H5" s="12">
        <f>G5+'Cash Flow Statement'!H6</f>
        <v>5686.352065703697</v>
      </c>
      <c r="I5" s="12">
        <f>H5+'Cash Flow Statement'!I6</f>
        <v>6479.8736438222859</v>
      </c>
      <c r="J5" s="12">
        <f>I5+'Cash Flow Statement'!J6</f>
        <v>7380.5347996347891</v>
      </c>
      <c r="K5" s="12">
        <f>J5+'Cash Flow Statement'!K6</f>
        <v>8350.710125716796</v>
      </c>
    </row>
    <row r="6" spans="1:11" x14ac:dyDescent="0.25">
      <c r="A6" s="1" t="s">
        <v>93</v>
      </c>
      <c r="B6" s="12">
        <f>'Income Statement'!B3*(Assumptions!$G$19+Assumptions!$G$20)/365*1.15</f>
        <v>5969.3831999999993</v>
      </c>
      <c r="C6" s="12">
        <f>'Income Statement'!C3*(Assumptions!$G$19+Assumptions!$G$20)/365*1.15</f>
        <v>6320.9068191780807</v>
      </c>
      <c r="D6" s="12">
        <f>'Income Statement'!D3*(Assumptions!$G$19+Assumptions!$G$20)/365*1.15</f>
        <v>6800.1161671232885</v>
      </c>
      <c r="E6" s="12">
        <f>'Income Statement'!E3*(Assumptions!$G$19+Assumptions!$G$20)/365*1.15</f>
        <v>6887.3323561643829</v>
      </c>
      <c r="F6" s="12">
        <f>'Income Statement'!F3*(Assumptions!$G$19+Assumptions!$G$20)/365*1.15</f>
        <v>7232.4198821917807</v>
      </c>
      <c r="G6" s="12">
        <f>'Income Statement'!G3*(Assumptions!G19+Assumptions!G20)/365</f>
        <v>6792.1856284931509</v>
      </c>
      <c r="H6" s="12">
        <f>'Income Statement'!H3*(Assumptions!H19+Assumptions!H20)/365</f>
        <v>7403.4823350575343</v>
      </c>
      <c r="I6" s="12">
        <f>'Income Statement'!I3*(Assumptions!I19+Assumptions!I20)/365</f>
        <v>8143.8305685632877</v>
      </c>
      <c r="J6" s="12">
        <f>'Income Statement'!J3*(Assumptions!J19+Assumptions!J20)/365</f>
        <v>8958.2136254196175</v>
      </c>
      <c r="K6" s="12">
        <f>'Income Statement'!K3*(Assumptions!K19+Assumptions!K20)/365</f>
        <v>9854.0349879615806</v>
      </c>
    </row>
    <row r="7" spans="1:11" x14ac:dyDescent="0.25">
      <c r="A7" s="11" t="s">
        <v>94</v>
      </c>
      <c r="B7" s="17">
        <f t="shared" ref="B7:K7" si="0">B4+B5+B6</f>
        <v>12669.3832</v>
      </c>
      <c r="C7" s="17">
        <f t="shared" si="0"/>
        <v>13570.906819178081</v>
      </c>
      <c r="D7" s="17">
        <f t="shared" si="0"/>
        <v>14700.116167123288</v>
      </c>
      <c r="E7" s="17">
        <f t="shared" si="0"/>
        <v>15537.332356164383</v>
      </c>
      <c r="F7" s="17">
        <f t="shared" si="0"/>
        <v>16632.419882191782</v>
      </c>
      <c r="G7" s="17">
        <f t="shared" si="0"/>
        <v>16983.907707366503</v>
      </c>
      <c r="H7" s="17">
        <f t="shared" si="0"/>
        <v>18457.838821797232</v>
      </c>
      <c r="I7" s="17">
        <f t="shared" si="0"/>
        <v>20145.458538121173</v>
      </c>
      <c r="J7" s="17">
        <f t="shared" si="0"/>
        <v>22029.627645959568</v>
      </c>
      <c r="K7" s="17">
        <f t="shared" si="0"/>
        <v>24081.661719270051</v>
      </c>
    </row>
    <row r="9" spans="1:11" x14ac:dyDescent="0.25">
      <c r="A9" s="3" t="s">
        <v>95</v>
      </c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5">
      <c r="A10" s="1" t="s">
        <v>96</v>
      </c>
      <c r="B10" s="6">
        <v>177.23</v>
      </c>
      <c r="C10" s="6">
        <v>177.23</v>
      </c>
      <c r="D10" s="6">
        <v>177.23</v>
      </c>
      <c r="E10" s="6">
        <v>177.23</v>
      </c>
      <c r="F10" s="6">
        <v>177.23</v>
      </c>
      <c r="G10" s="13">
        <f>F10</f>
        <v>177.23</v>
      </c>
      <c r="H10" s="13">
        <f>G10</f>
        <v>177.23</v>
      </c>
      <c r="I10" s="13">
        <f>H10</f>
        <v>177.23</v>
      </c>
      <c r="J10" s="13">
        <f>I10</f>
        <v>177.23</v>
      </c>
      <c r="K10" s="13">
        <f>J10</f>
        <v>177.23</v>
      </c>
    </row>
    <row r="11" spans="1:11" x14ac:dyDescent="0.25">
      <c r="A11" s="1" t="s">
        <v>97</v>
      </c>
      <c r="B11" s="12">
        <f>7380-B10</f>
        <v>7202.77</v>
      </c>
      <c r="C11" s="12">
        <f>8381-C10</f>
        <v>8203.77</v>
      </c>
      <c r="D11" s="12">
        <f>8973-D10</f>
        <v>8795.77</v>
      </c>
      <c r="E11" s="12">
        <f>10801-E10</f>
        <v>10623.77</v>
      </c>
      <c r="F11" s="12">
        <f>12000-F10</f>
        <v>11822.77</v>
      </c>
      <c r="G11" s="12">
        <f>F11+'Income Statement'!G17</f>
        <v>12766.03318596924</v>
      </c>
      <c r="H11" s="12">
        <f>G11+'Income Statement'!H17</f>
        <v>13820.110381183531</v>
      </c>
      <c r="I11" s="12">
        <f>H11+'Income Statement'!I17</f>
        <v>15006.387960967448</v>
      </c>
      <c r="J11" s="12">
        <f>I11+'Income Statement'!J17</f>
        <v>16340.789970952985</v>
      </c>
      <c r="K11" s="12">
        <f>J11+'Income Statement'!K17</f>
        <v>17805.294611912399</v>
      </c>
    </row>
    <row r="12" spans="1:11" x14ac:dyDescent="0.25">
      <c r="A12" s="11" t="s">
        <v>98</v>
      </c>
      <c r="B12" s="17">
        <f t="shared" ref="B12:K12" si="1">B10+B11</f>
        <v>7380</v>
      </c>
      <c r="C12" s="17">
        <f t="shared" si="1"/>
        <v>8381</v>
      </c>
      <c r="D12" s="17">
        <f t="shared" si="1"/>
        <v>8973</v>
      </c>
      <c r="E12" s="17">
        <f t="shared" si="1"/>
        <v>10801</v>
      </c>
      <c r="F12" s="17">
        <f t="shared" si="1"/>
        <v>12000</v>
      </c>
      <c r="G12" s="17">
        <f t="shared" si="1"/>
        <v>12943.263185969239</v>
      </c>
      <c r="H12" s="17">
        <f t="shared" si="1"/>
        <v>13997.340381183531</v>
      </c>
      <c r="I12" s="17">
        <f t="shared" si="1"/>
        <v>15183.617960967447</v>
      </c>
      <c r="J12" s="17">
        <f t="shared" si="1"/>
        <v>16518.019970952984</v>
      </c>
      <c r="K12" s="17">
        <f t="shared" si="1"/>
        <v>17982.524611912399</v>
      </c>
    </row>
    <row r="13" spans="1:11" x14ac:dyDescent="0.25">
      <c r="A13" s="1" t="s">
        <v>99</v>
      </c>
      <c r="B13" s="6">
        <v>1550</v>
      </c>
      <c r="C13" s="6">
        <v>1650</v>
      </c>
      <c r="D13" s="6">
        <v>1700</v>
      </c>
      <c r="E13" s="6">
        <v>1750</v>
      </c>
      <c r="F13" s="6">
        <v>1800</v>
      </c>
      <c r="G13" s="13">
        <f>F13*1.02</f>
        <v>1836</v>
      </c>
      <c r="H13" s="13">
        <f>G13*1.02</f>
        <v>1872.72</v>
      </c>
      <c r="I13" s="13">
        <f>H13*1.02</f>
        <v>1910.1744000000001</v>
      </c>
      <c r="J13" s="13">
        <f>I13*1.02</f>
        <v>1948.3778880000002</v>
      </c>
      <c r="K13" s="13">
        <f>J13*1.02</f>
        <v>1987.3454457600003</v>
      </c>
    </row>
    <row r="14" spans="1:11" x14ac:dyDescent="0.25">
      <c r="A14" s="1" t="s">
        <v>100</v>
      </c>
      <c r="B14" s="13">
        <f t="shared" ref="B14:K14" si="2">B7-B12-B13</f>
        <v>3739.3832000000002</v>
      </c>
      <c r="C14" s="13">
        <f t="shared" si="2"/>
        <v>3539.9068191780807</v>
      </c>
      <c r="D14" s="13">
        <f t="shared" si="2"/>
        <v>4027.1161671232876</v>
      </c>
      <c r="E14" s="13">
        <f t="shared" si="2"/>
        <v>2986.3323561643829</v>
      </c>
      <c r="F14" s="13">
        <f t="shared" si="2"/>
        <v>2832.4198821917817</v>
      </c>
      <c r="G14" s="13">
        <f t="shared" si="2"/>
        <v>2204.6445213972638</v>
      </c>
      <c r="H14" s="13">
        <f t="shared" si="2"/>
        <v>2587.7784406137007</v>
      </c>
      <c r="I14" s="13">
        <f t="shared" si="2"/>
        <v>3051.6661771537256</v>
      </c>
      <c r="J14" s="13">
        <f t="shared" si="2"/>
        <v>3563.229787006584</v>
      </c>
      <c r="K14" s="13">
        <f t="shared" si="2"/>
        <v>4111.7916615976519</v>
      </c>
    </row>
    <row r="15" spans="1:11" x14ac:dyDescent="0.25">
      <c r="A15" s="11" t="s">
        <v>101</v>
      </c>
      <c r="B15" s="17">
        <f t="shared" ref="B15:K15" si="3">B12+B13+B14</f>
        <v>12669.3832</v>
      </c>
      <c r="C15" s="17">
        <f t="shared" si="3"/>
        <v>13570.906819178081</v>
      </c>
      <c r="D15" s="17">
        <f t="shared" si="3"/>
        <v>14700.116167123288</v>
      </c>
      <c r="E15" s="17">
        <f t="shared" si="3"/>
        <v>15537.332356164383</v>
      </c>
      <c r="F15" s="17">
        <f t="shared" si="3"/>
        <v>16632.419882191782</v>
      </c>
      <c r="G15" s="17">
        <f t="shared" si="3"/>
        <v>16983.907707366503</v>
      </c>
      <c r="H15" s="17">
        <f t="shared" si="3"/>
        <v>18457.838821797232</v>
      </c>
      <c r="I15" s="17">
        <f t="shared" si="3"/>
        <v>20145.458538121173</v>
      </c>
      <c r="J15" s="17">
        <f t="shared" si="3"/>
        <v>22029.627645959568</v>
      </c>
      <c r="K15" s="17">
        <f t="shared" si="3"/>
        <v>24081.661719270051</v>
      </c>
    </row>
    <row r="16" spans="1:11" x14ac:dyDescent="0.25">
      <c r="A16" s="14" t="s">
        <v>102</v>
      </c>
      <c r="B16" s="13">
        <f t="shared" ref="B16:K16" si="4">B7-B15</f>
        <v>0</v>
      </c>
      <c r="C16" s="13">
        <f t="shared" si="4"/>
        <v>0</v>
      </c>
      <c r="D16" s="13">
        <f t="shared" si="4"/>
        <v>0</v>
      </c>
      <c r="E16" s="13">
        <f t="shared" si="4"/>
        <v>0</v>
      </c>
      <c r="F16" s="13">
        <f t="shared" si="4"/>
        <v>0</v>
      </c>
      <c r="G16" s="13">
        <f t="shared" si="4"/>
        <v>0</v>
      </c>
      <c r="H16" s="13">
        <f t="shared" si="4"/>
        <v>0</v>
      </c>
      <c r="I16" s="13">
        <f t="shared" si="4"/>
        <v>0</v>
      </c>
      <c r="J16" s="13">
        <f t="shared" si="4"/>
        <v>0</v>
      </c>
      <c r="K16" s="13">
        <f t="shared" si="4"/>
        <v>0</v>
      </c>
    </row>
    <row r="18" spans="1:11" x14ac:dyDescent="0.25">
      <c r="A18" s="3" t="s">
        <v>103</v>
      </c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x14ac:dyDescent="0.25">
      <c r="A19" s="1" t="s">
        <v>104</v>
      </c>
      <c r="B19" s="12">
        <f>'Income Statement'!B3*Assumptions!$G$19/365</f>
        <v>715.96800000000007</v>
      </c>
      <c r="C19" s="12">
        <f>'Income Statement'!C3*Assumptions!$G$19/365</f>
        <v>758.12975342465745</v>
      </c>
      <c r="D19" s="12">
        <f>'Income Statement'!D3*Assumptions!$G$19/365</f>
        <v>815.60613698630129</v>
      </c>
      <c r="E19" s="12">
        <f>'Income Statement'!E3*Assumptions!$G$19/365</f>
        <v>826.06684931506857</v>
      </c>
      <c r="F19" s="12">
        <f>'Income Statement'!F3*Assumptions!$G$19/365</f>
        <v>867.45665753424657</v>
      </c>
      <c r="G19" s="12">
        <f>'Income Statement'!G3*Assumptions!$G$19/365</f>
        <v>936.85319013698631</v>
      </c>
      <c r="H19" s="12">
        <f>'Income Statement'!H3*Assumptions!$G$19/365</f>
        <v>1021.1699772493151</v>
      </c>
      <c r="I19" s="12">
        <f>'Income Statement'!I3*Assumptions!$G$19/365</f>
        <v>1123.2869749742465</v>
      </c>
      <c r="J19" s="12">
        <f>'Income Statement'!J3*Assumptions!$G$19/365</f>
        <v>1235.6156724716716</v>
      </c>
      <c r="K19" s="12">
        <f>'Income Statement'!K3*Assumptions!$G$19/365</f>
        <v>1359.1772397188388</v>
      </c>
    </row>
    <row r="20" spans="1:11" x14ac:dyDescent="0.25">
      <c r="A20" s="1" t="s">
        <v>105</v>
      </c>
      <c r="B20" s="12">
        <f>('Income Statement'!B3-'Income Statement'!B6)*Assumptions!$G$20/365</f>
        <v>3585.4849315068495</v>
      </c>
      <c r="C20" s="12">
        <f>('Income Statement'!C3-'Income Statement'!C6)*Assumptions!$G$20/365</f>
        <v>3812.0095890410958</v>
      </c>
      <c r="D20" s="12">
        <f>('Income Statement'!D3-'Income Statement'!D6)*Assumptions!$G$20/365</f>
        <v>4111.2369863013701</v>
      </c>
      <c r="E20" s="12">
        <f>('Income Statement'!E3-'Income Statement'!E6)*Assumptions!$G$20/365</f>
        <v>4210.7260273972606</v>
      </c>
      <c r="F20" s="12">
        <f>('Income Statement'!F3-'Income Statement'!F6)*Assumptions!$G$20/365</f>
        <v>4391.3301369863011</v>
      </c>
      <c r="G20" s="12">
        <f>('Income Statement'!G3-'Income Statement'!G6)*Assumptions!$G$20/365</f>
        <v>4713.5426128767122</v>
      </c>
      <c r="H20" s="12">
        <f>('Income Statement'!H3-'Income Statement'!H6)*Assumptions!$G$20/365</f>
        <v>5105.8498862465749</v>
      </c>
      <c r="I20" s="12">
        <f>('Income Statement'!I3-'Income Statement'!I6)*Assumptions!$G$20/365</f>
        <v>5581.3321569032878</v>
      </c>
      <c r="J20" s="12">
        <f>('Income Statement'!J3-'Income Statement'!J6)*Assumptions!$G$20/365</f>
        <v>6100.852382828878</v>
      </c>
      <c r="K20" s="12">
        <f>('Income Statement'!K3-'Income Statement'!K6)*Assumptions!$G$20/365</f>
        <v>6710.937621111766</v>
      </c>
    </row>
    <row r="21" spans="1:11" x14ac:dyDescent="0.25">
      <c r="A21" s="1" t="s">
        <v>106</v>
      </c>
      <c r="B21" s="12">
        <f>('Income Statement'!B3-'Income Statement'!B6)*Assumptions!$G$21/365</f>
        <v>2270.8071232876709</v>
      </c>
      <c r="C21" s="12">
        <f>('Income Statement'!C3-'Income Statement'!C6)*Assumptions!$G$21/365</f>
        <v>2414.2727397260273</v>
      </c>
      <c r="D21" s="12">
        <f>('Income Statement'!D3-'Income Statement'!D6)*Assumptions!$G$21/365</f>
        <v>2603.7834246575344</v>
      </c>
      <c r="E21" s="12">
        <f>('Income Statement'!E3-'Income Statement'!E6)*Assumptions!$G$21/365</f>
        <v>2666.7931506849313</v>
      </c>
      <c r="F21" s="12">
        <f>('Income Statement'!F3-'Income Statement'!F6)*Assumptions!$G$21/365</f>
        <v>2781.1757534246576</v>
      </c>
      <c r="G21" s="12">
        <f>('Income Statement'!G3-'Income Statement'!G6)*Assumptions!$G$21/365</f>
        <v>2985.2436548219175</v>
      </c>
      <c r="H21" s="12">
        <f>('Income Statement'!H3-'Income Statement'!H6)*Assumptions!$G$21/365</f>
        <v>3233.7049279561643</v>
      </c>
      <c r="I21" s="12">
        <f>('Income Statement'!I3-'Income Statement'!I6)*Assumptions!$G$21/365</f>
        <v>3534.843699372082</v>
      </c>
      <c r="J21" s="12">
        <f>('Income Statement'!J3-'Income Statement'!J6)*Assumptions!$G$21/365</f>
        <v>3863.873175791623</v>
      </c>
      <c r="K21" s="12">
        <f>('Income Statement'!K3-'Income Statement'!K6)*Assumptions!$G$21/365</f>
        <v>4250.2604933707853</v>
      </c>
    </row>
    <row r="22" spans="1:11" x14ac:dyDescent="0.25">
      <c r="A22" s="11" t="s">
        <v>107</v>
      </c>
      <c r="B22" s="17">
        <f t="shared" ref="B22:K22" si="5">B19+B20-B21</f>
        <v>2030.6458082191784</v>
      </c>
      <c r="C22" s="17">
        <f t="shared" si="5"/>
        <v>2155.8666027397262</v>
      </c>
      <c r="D22" s="17">
        <f t="shared" si="5"/>
        <v>2323.0596986301366</v>
      </c>
      <c r="E22" s="17">
        <f t="shared" si="5"/>
        <v>2369.9997260273981</v>
      </c>
      <c r="F22" s="17">
        <f t="shared" si="5"/>
        <v>2477.6110410958904</v>
      </c>
      <c r="G22" s="17">
        <f t="shared" si="5"/>
        <v>2665.1521481917807</v>
      </c>
      <c r="H22" s="17">
        <f t="shared" si="5"/>
        <v>2893.3149355397254</v>
      </c>
      <c r="I22" s="17">
        <f t="shared" si="5"/>
        <v>3169.7754325054525</v>
      </c>
      <c r="J22" s="17">
        <f t="shared" si="5"/>
        <v>3472.5948795089262</v>
      </c>
      <c r="K22" s="17">
        <f t="shared" si="5"/>
        <v>3819.8543674598195</v>
      </c>
    </row>
    <row r="23" spans="1:11" x14ac:dyDescent="0.25">
      <c r="A23" s="1" t="s">
        <v>108</v>
      </c>
      <c r="B23" s="1" t="s">
        <v>109</v>
      </c>
      <c r="C23" s="13">
        <f t="shared" ref="C23:K23" si="6">C22-B22</f>
        <v>125.22079452054777</v>
      </c>
      <c r="D23" s="13">
        <f t="shared" si="6"/>
        <v>167.1930958904104</v>
      </c>
      <c r="E23" s="13">
        <f t="shared" si="6"/>
        <v>46.940027397261474</v>
      </c>
      <c r="F23" s="13">
        <f t="shared" si="6"/>
        <v>107.61131506849233</v>
      </c>
      <c r="G23" s="13">
        <f t="shared" si="6"/>
        <v>187.54110709589031</v>
      </c>
      <c r="H23" s="13">
        <f t="shared" si="6"/>
        <v>228.16278734794469</v>
      </c>
      <c r="I23" s="13">
        <f t="shared" si="6"/>
        <v>276.46049696572709</v>
      </c>
      <c r="J23" s="13">
        <f t="shared" si="6"/>
        <v>302.81944700347367</v>
      </c>
      <c r="K23" s="13">
        <f t="shared" si="6"/>
        <v>347.25948795089334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"/>
  <sheetViews>
    <sheetView zoomScaleNormal="100" workbookViewId="0"/>
  </sheetViews>
  <sheetFormatPr defaultColWidth="8.7109375" defaultRowHeight="15" x14ac:dyDescent="0.25"/>
  <cols>
    <col min="1" max="1" width="40" customWidth="1"/>
    <col min="2" max="11" width="11" customWidth="1"/>
  </cols>
  <sheetData>
    <row r="1" spans="1:11" x14ac:dyDescent="0.25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</row>
    <row r="3" spans="1:11" x14ac:dyDescent="0.25">
      <c r="A3" s="11" t="s">
        <v>110</v>
      </c>
      <c r="B3" s="12">
        <f>'Income Statement'!B14+'Income Statement'!B8</f>
        <v>1994.4396400000001</v>
      </c>
      <c r="C3" s="12">
        <f>'Income Statement'!C14+'Income Statement'!C8-'Balance Sheet'!C23</f>
        <v>1893.2362354794523</v>
      </c>
      <c r="D3" s="12">
        <f>'Income Statement'!D14+'Income Statement'!D8-'Balance Sheet'!D23</f>
        <v>2060.0112141095897</v>
      </c>
      <c r="E3" s="12">
        <f>'Income Statement'!E14+'Income Statement'!E8-'Balance Sheet'!E23</f>
        <v>2160.7684726027387</v>
      </c>
      <c r="F3" s="12">
        <f>'Income Statement'!F14+'Income Statement'!F8-'Balance Sheet'!F23</f>
        <v>2236.0112049315076</v>
      </c>
      <c r="G3" s="12">
        <f>'Income Statement'!G14+'Income Statement'!G8-'Balance Sheet'!G23</f>
        <v>2421.5264277690853</v>
      </c>
      <c r="H3" s="12">
        <f>'Income Statement'!H14+'Income Statement'!H8-'Balance Sheet'!H23</f>
        <v>2673.3215423389274</v>
      </c>
      <c r="I3" s="12">
        <f>'Income Statement'!I14+'Income Statement'!I8-'Balance Sheet'!I23</f>
        <v>2974.7115213524862</v>
      </c>
      <c r="J3" s="12">
        <f>'Income Statement'!J14+'Income Statement'!J8-'Balance Sheet'!J23</f>
        <v>3339.0179336426268</v>
      </c>
      <c r="K3" s="12">
        <f>'Income Statement'!K14+'Income Statement'!K8-'Balance Sheet'!K23</f>
        <v>3651.3448084827619</v>
      </c>
    </row>
    <row r="4" spans="1:11" x14ac:dyDescent="0.25">
      <c r="A4" s="11" t="s">
        <v>111</v>
      </c>
      <c r="B4" s="12">
        <f>-'Income Statement'!B3*Assumptions!G18</f>
        <v>-489.99059999999997</v>
      </c>
      <c r="C4" s="12">
        <f>-'Income Statement'!C3*Assumptions!G18</f>
        <v>-518.8450499999999</v>
      </c>
      <c r="D4" s="12">
        <f>-'Income Statement'!D3*Assumptions!G18</f>
        <v>-558.18044999999995</v>
      </c>
      <c r="E4" s="12">
        <f>-'Income Statement'!E3*Assumptions!G18</f>
        <v>-565.33950000000004</v>
      </c>
      <c r="F4" s="12">
        <f>-'Income Statement'!F3*Assumptions!G18</f>
        <v>-593.66564999999991</v>
      </c>
      <c r="G4" s="12">
        <f>-'Income Statement'!G3*Assumptions!G18</f>
        <v>-641.15890200000001</v>
      </c>
      <c r="H4" s="12">
        <f>-'Income Statement'!H3*Assumptions!H18</f>
        <v>-698.86320318000003</v>
      </c>
      <c r="I4" s="12">
        <f>-'Income Statement'!I3*Assumptions!I18</f>
        <v>-768.74952349800003</v>
      </c>
      <c r="J4" s="12">
        <f>-'Income Statement'!J3*Assumptions!J18</f>
        <v>-845.62447584780011</v>
      </c>
      <c r="K4" s="12">
        <f>-'Income Statement'!K3*Assumptions!K18</f>
        <v>-930.18692343258022</v>
      </c>
    </row>
    <row r="5" spans="1:11" x14ac:dyDescent="0.25">
      <c r="A5" s="11" t="s">
        <v>112</v>
      </c>
      <c r="B5" s="12">
        <f>-'Income Statement'!B16</f>
        <v>0</v>
      </c>
      <c r="C5" s="12">
        <f>-'Income Statement'!C16+('Balance Sheet'!C13-'Balance Sheet'!B13)</f>
        <v>100</v>
      </c>
      <c r="D5" s="12">
        <f>-'Income Statement'!D16+('Balance Sheet'!D13-'Balance Sheet'!C13)</f>
        <v>50</v>
      </c>
      <c r="E5" s="12">
        <f>-'Income Statement'!E16+('Balance Sheet'!E13-'Balance Sheet'!D13)</f>
        <v>50</v>
      </c>
      <c r="F5" s="12">
        <f>-'Income Statement'!F16+('Balance Sheet'!F13-'Balance Sheet'!E13)</f>
        <v>50</v>
      </c>
      <c r="G5" s="12">
        <f>-'Income Statement'!G16+('Balance Sheet'!G13-'Balance Sheet'!F13)</f>
        <v>-1116.8772272957367</v>
      </c>
      <c r="H5" s="12">
        <f>-'Income Statement'!H16+('Balance Sheet'!H13-'Balance Sheet'!G13)</f>
        <v>-1251.5965719285798</v>
      </c>
      <c r="I5" s="12">
        <f>-'Income Statement'!I16+('Balance Sheet'!I13-'Balance Sheet'!H13)</f>
        <v>-1412.4404197358974</v>
      </c>
      <c r="J5" s="12">
        <f>-'Income Statement'!J16+('Balance Sheet'!J13-'Balance Sheet'!I13)</f>
        <v>-1592.7323019823234</v>
      </c>
      <c r="K5" s="12">
        <f>-'Income Statement'!K16+('Balance Sheet'!K13-'Balance Sheet'!J13)</f>
        <v>-1750.9825589681752</v>
      </c>
    </row>
    <row r="6" spans="1:11" x14ac:dyDescent="0.25">
      <c r="A6" s="11" t="s">
        <v>113</v>
      </c>
      <c r="B6" s="17">
        <f t="shared" ref="B6:K6" si="0">B3+B4+B5</f>
        <v>1504.44904</v>
      </c>
      <c r="C6" s="17">
        <f t="shared" si="0"/>
        <v>1474.3911854794524</v>
      </c>
      <c r="D6" s="17">
        <f t="shared" si="0"/>
        <v>1551.8307641095898</v>
      </c>
      <c r="E6" s="17">
        <f t="shared" si="0"/>
        <v>1645.4289726027387</v>
      </c>
      <c r="F6" s="17">
        <f t="shared" si="0"/>
        <v>1692.3455549315076</v>
      </c>
      <c r="G6" s="17">
        <f t="shared" si="0"/>
        <v>663.4902984733485</v>
      </c>
      <c r="H6" s="17">
        <f t="shared" si="0"/>
        <v>722.8617672303476</v>
      </c>
      <c r="I6" s="17">
        <f t="shared" si="0"/>
        <v>793.52157811858865</v>
      </c>
      <c r="J6" s="17">
        <f t="shared" si="0"/>
        <v>900.66115581250324</v>
      </c>
      <c r="K6" s="17">
        <f t="shared" si="0"/>
        <v>970.17532608200668</v>
      </c>
    </row>
    <row r="8" spans="1:11" x14ac:dyDescent="0.25">
      <c r="A8" s="14" t="s">
        <v>114</v>
      </c>
      <c r="B8" s="1" t="s">
        <v>109</v>
      </c>
      <c r="C8" s="12">
        <f>'Income Statement'!C9*(1-Assumptions!G16)+'Income Statement'!C8-'Income Statement'!C3*Assumptions!G18-'Balance Sheet'!C23</f>
        <v>1163.1147723794525</v>
      </c>
      <c r="D8" s="12">
        <f>'Income Statement'!D9*(1-Assumptions!G16)+'Income Statement'!D8-'Income Statement'!D3*Assumptions!G18-'Balance Sheet'!D23</f>
        <v>1211.0670454095898</v>
      </c>
      <c r="E8" s="12">
        <f>'Income Statement'!E9*(1-Assumptions!G16)+'Income Statement'!E8-'Income Statement'!E3*Assumptions!G18-'Balance Sheet'!E23</f>
        <v>1272.9434276027387</v>
      </c>
      <c r="F8" s="12">
        <f>'Income Statement'!F9*(1-Assumptions!G16)+'Income Statement'!F8-'Income Statement'!F3*Assumptions!G18-'Balance Sheet'!F23</f>
        <v>1338.3475145315078</v>
      </c>
      <c r="G8" s="12">
        <f>'Income Statement'!G9*(1-Assumptions!G16)+'Income Statement'!G8-'Income Statement'!G3*Assumptions!G18-'Balance Sheet'!G23</f>
        <v>1428.6067652121096</v>
      </c>
      <c r="H8" s="12">
        <f>'Income Statement'!H9*(1-Assumptions!H16)+'Income Statement'!H8-'Income Statement'!H3*Assumptions!H18-'Balance Sheet'!H23</f>
        <v>1593.2300230731755</v>
      </c>
      <c r="I8" s="12">
        <f>'Income Statement'!I9*(1-Assumptions!I16)+'Income Statement'!I8-'Income Statement'!I3*Assumptions!I18-'Balance Sheet'!I23</f>
        <v>1792.8423870634442</v>
      </c>
      <c r="J8" s="12">
        <f>'Income Statement'!J9*(1-Assumptions!J16)+'Income Statement'!J8-'Income Statement'!J3*Assumptions!J18-'Balance Sheet'!J23</f>
        <v>2045.7615972511499</v>
      </c>
      <c r="K8" s="12">
        <f>'Income Statement'!K9*(1-Assumptions!K16)+'Income Statement'!K8-'Income Statement'!K3*Assumptions!K18-'Balance Sheet'!K23</f>
        <v>2236.1796607291926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7"/>
  <sheetViews>
    <sheetView zoomScaleNormal="100" workbookViewId="0"/>
  </sheetViews>
  <sheetFormatPr defaultColWidth="8.7109375" defaultRowHeight="15" x14ac:dyDescent="0.25"/>
  <cols>
    <col min="1" max="1" width="42" customWidth="1"/>
    <col min="2" max="11" width="12" customWidth="1"/>
  </cols>
  <sheetData>
    <row r="1" spans="1:4" ht="16.5" x14ac:dyDescent="0.25">
      <c r="A1" s="18" t="s">
        <v>115</v>
      </c>
    </row>
    <row r="3" spans="1:4" x14ac:dyDescent="0.25">
      <c r="A3" s="3" t="s">
        <v>116</v>
      </c>
      <c r="B3" s="4"/>
      <c r="C3" s="4"/>
      <c r="D3" s="4"/>
    </row>
    <row r="4" spans="1:4" x14ac:dyDescent="0.25">
      <c r="A4" t="s">
        <v>117</v>
      </c>
      <c r="B4" s="19">
        <f>Assumptions!B25</f>
        <v>6.6000000000000003E-2</v>
      </c>
    </row>
    <row r="5" spans="1:4" x14ac:dyDescent="0.25">
      <c r="A5" t="s">
        <v>118</v>
      </c>
      <c r="B5" s="20">
        <f>Assumptions!B26</f>
        <v>0.55000000000000004</v>
      </c>
    </row>
    <row r="6" spans="1:4" x14ac:dyDescent="0.25">
      <c r="A6" t="s">
        <v>119</v>
      </c>
      <c r="B6" s="19">
        <f>Assumptions!B27</f>
        <v>7.0000000000000007E-2</v>
      </c>
    </row>
    <row r="7" spans="1:4" x14ac:dyDescent="0.25">
      <c r="A7" s="11" t="s">
        <v>120</v>
      </c>
      <c r="B7" s="21">
        <f>B4+B5*B6</f>
        <v>0.10450000000000001</v>
      </c>
    </row>
    <row r="9" spans="1:4" x14ac:dyDescent="0.25">
      <c r="A9" s="3" t="s">
        <v>121</v>
      </c>
      <c r="B9" s="4"/>
      <c r="C9" s="4"/>
      <c r="D9" s="4"/>
    </row>
    <row r="10" spans="1:4" x14ac:dyDescent="0.25">
      <c r="A10" t="s">
        <v>73</v>
      </c>
      <c r="B10" s="19">
        <f>Assumptions!B28</f>
        <v>7.4999999999999997E-2</v>
      </c>
    </row>
    <row r="11" spans="1:4" x14ac:dyDescent="0.25">
      <c r="A11" t="s">
        <v>122</v>
      </c>
      <c r="B11" s="19">
        <f>Assumptions!G16</f>
        <v>0.23</v>
      </c>
    </row>
    <row r="12" spans="1:4" x14ac:dyDescent="0.25">
      <c r="A12" t="s">
        <v>123</v>
      </c>
      <c r="B12" s="15">
        <f>B10*(1-B11)</f>
        <v>5.7749999999999996E-2</v>
      </c>
    </row>
    <row r="13" spans="1:4" x14ac:dyDescent="0.25">
      <c r="A13" t="s">
        <v>124</v>
      </c>
      <c r="B13" s="12">
        <f>Assumptions!B30*Assumptions!B31</f>
        <v>85070.399999999994</v>
      </c>
    </row>
    <row r="14" spans="1:4" x14ac:dyDescent="0.25">
      <c r="A14" t="s">
        <v>125</v>
      </c>
      <c r="B14" s="12">
        <f>'Balance Sheet'!F13</f>
        <v>1800</v>
      </c>
    </row>
    <row r="15" spans="1:4" x14ac:dyDescent="0.25">
      <c r="A15" t="s">
        <v>126</v>
      </c>
      <c r="B15" s="15">
        <f>B13/(B13+B14)</f>
        <v>0.97927947839540286</v>
      </c>
    </row>
    <row r="16" spans="1:4" x14ac:dyDescent="0.25">
      <c r="A16" t="s">
        <v>127</v>
      </c>
      <c r="B16" s="15">
        <f>B14/(B13+B14)</f>
        <v>2.0720521604597194E-2</v>
      </c>
    </row>
    <row r="17" spans="1:11" x14ac:dyDescent="0.25">
      <c r="A17" s="11" t="s">
        <v>128</v>
      </c>
      <c r="B17" s="21">
        <f>B15*B7+B16*B12</f>
        <v>0.1035313156149851</v>
      </c>
    </row>
    <row r="18" spans="1:11" x14ac:dyDescent="0.25">
      <c r="A18" t="s">
        <v>74</v>
      </c>
      <c r="B18" s="19">
        <f>Assumptions!B29</f>
        <v>0.05</v>
      </c>
    </row>
    <row r="20" spans="1:11" x14ac:dyDescent="0.25">
      <c r="A20" s="3" t="s">
        <v>129</v>
      </c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25">
      <c r="G21" s="11" t="s">
        <v>28</v>
      </c>
      <c r="H21" s="11" t="s">
        <v>29</v>
      </c>
      <c r="I21" s="11" t="s">
        <v>30</v>
      </c>
      <c r="J21" s="11" t="s">
        <v>31</v>
      </c>
      <c r="K21" s="11" t="s">
        <v>32</v>
      </c>
    </row>
    <row r="22" spans="1:11" x14ac:dyDescent="0.25">
      <c r="A22" t="s">
        <v>130</v>
      </c>
      <c r="G22" s="12">
        <f>'Cash Flow Statement'!G8</f>
        <v>1428.6067652121096</v>
      </c>
      <c r="H22" s="12">
        <f>'Cash Flow Statement'!H8</f>
        <v>1593.2300230731755</v>
      </c>
      <c r="I22" s="12">
        <f>'Cash Flow Statement'!I8</f>
        <v>1792.8423870634442</v>
      </c>
      <c r="J22" s="12">
        <f>'Cash Flow Statement'!J8</f>
        <v>2045.7615972511499</v>
      </c>
      <c r="K22" s="12">
        <f>'Cash Flow Statement'!K8</f>
        <v>2236.1796607291926</v>
      </c>
    </row>
    <row r="23" spans="1:11" x14ac:dyDescent="0.25">
      <c r="A23" t="s">
        <v>131</v>
      </c>
      <c r="G23" s="1">
        <v>1</v>
      </c>
      <c r="H23" s="1">
        <v>2</v>
      </c>
      <c r="I23" s="1">
        <v>3</v>
      </c>
      <c r="J23" s="1">
        <v>4</v>
      </c>
      <c r="K23" s="1">
        <v>5</v>
      </c>
    </row>
    <row r="24" spans="1:11" x14ac:dyDescent="0.25">
      <c r="A24" t="s">
        <v>132</v>
      </c>
      <c r="G24" s="22">
        <f>1/(1+$B$17)^G23</f>
        <v>0.9061818054911398</v>
      </c>
      <c r="H24" s="22">
        <f>1/(1+$B$17)^H23</f>
        <v>0.82116546460318185</v>
      </c>
      <c r="I24" s="22">
        <f>1/(1+$B$17)^I23</f>
        <v>0.74412520332108201</v>
      </c>
      <c r="J24" s="22">
        <f>1/(1+$B$17)^J23</f>
        <v>0.67431272025695954</v>
      </c>
      <c r="K24" s="22">
        <f>1/(1+$B$17)^K23</f>
        <v>0.61104991830809352</v>
      </c>
    </row>
    <row r="25" spans="1:11" x14ac:dyDescent="0.25">
      <c r="A25" t="s">
        <v>133</v>
      </c>
      <c r="G25" s="13">
        <f>G22*G24</f>
        <v>1294.5774578367664</v>
      </c>
      <c r="H25" s="13">
        <f>H22*H24</f>
        <v>1308.3054721166222</v>
      </c>
      <c r="I25" s="13">
        <f>I22*I24</f>
        <v>1334.0992057962394</v>
      </c>
      <c r="J25" s="13">
        <f>J22*J24</f>
        <v>1379.4830676396452</v>
      </c>
      <c r="K25" s="13">
        <f>K22*K24</f>
        <v>1366.4173990107934</v>
      </c>
    </row>
    <row r="27" spans="1:11" x14ac:dyDescent="0.25">
      <c r="A27" s="3" t="s">
        <v>134</v>
      </c>
      <c r="B27" s="4"/>
      <c r="C27" s="4"/>
      <c r="D27" s="4"/>
    </row>
    <row r="28" spans="1:11" x14ac:dyDescent="0.25">
      <c r="A28" t="s">
        <v>135</v>
      </c>
      <c r="B28" s="13">
        <f>SUM(G25:K25)</f>
        <v>6682.8826024000664</v>
      </c>
    </row>
    <row r="29" spans="1:11" x14ac:dyDescent="0.25">
      <c r="A29" t="s">
        <v>136</v>
      </c>
      <c r="B29" s="13">
        <f>K22*(1+B18)/(B17-B18)</f>
        <v>43861.964100661418</v>
      </c>
    </row>
    <row r="30" spans="1:11" x14ac:dyDescent="0.25">
      <c r="A30" t="s">
        <v>137</v>
      </c>
      <c r="B30" s="13">
        <f>B29*K24</f>
        <v>26801.84958054169</v>
      </c>
    </row>
    <row r="31" spans="1:11" x14ac:dyDescent="0.25">
      <c r="A31" s="11" t="s">
        <v>138</v>
      </c>
      <c r="B31" s="17">
        <f>B28+B30</f>
        <v>33484.732182941756</v>
      </c>
    </row>
    <row r="32" spans="1:11" x14ac:dyDescent="0.25">
      <c r="A32" t="s">
        <v>139</v>
      </c>
      <c r="B32" s="13">
        <f>-B14</f>
        <v>-1800</v>
      </c>
    </row>
    <row r="33" spans="1:6" x14ac:dyDescent="0.25">
      <c r="A33" t="s">
        <v>140</v>
      </c>
      <c r="B33" s="12">
        <f>'Balance Sheet'!F5</f>
        <v>4300</v>
      </c>
    </row>
    <row r="34" spans="1:6" x14ac:dyDescent="0.25">
      <c r="A34" s="11" t="s">
        <v>141</v>
      </c>
      <c r="B34" s="17">
        <f>B31-B14+B33</f>
        <v>35984.732182941756</v>
      </c>
    </row>
    <row r="35" spans="1:6" x14ac:dyDescent="0.25">
      <c r="A35" t="s">
        <v>46</v>
      </c>
      <c r="B35" s="20">
        <f>Assumptions!B30</f>
        <v>177.23</v>
      </c>
    </row>
    <row r="36" spans="1:6" x14ac:dyDescent="0.25">
      <c r="A36" s="11" t="s">
        <v>142</v>
      </c>
      <c r="B36" s="23">
        <f>B34/B35</f>
        <v>203.0397347116276</v>
      </c>
    </row>
    <row r="37" spans="1:6" x14ac:dyDescent="0.25">
      <c r="A37" t="s">
        <v>143</v>
      </c>
      <c r="B37" s="20">
        <f>Assumptions!B31</f>
        <v>480</v>
      </c>
    </row>
    <row r="38" spans="1:6" x14ac:dyDescent="0.25">
      <c r="A38" s="11" t="s">
        <v>144</v>
      </c>
      <c r="B38" s="21">
        <f>B36/B37-1</f>
        <v>-0.5770005526841091</v>
      </c>
    </row>
    <row r="41" spans="1:6" x14ac:dyDescent="0.25">
      <c r="A41" s="3" t="s">
        <v>145</v>
      </c>
      <c r="B41" s="4"/>
      <c r="C41" s="4"/>
      <c r="D41" s="4"/>
      <c r="E41" s="4"/>
      <c r="F41" s="4"/>
    </row>
    <row r="42" spans="1:6" x14ac:dyDescent="0.25">
      <c r="A42" s="24" t="s">
        <v>146</v>
      </c>
      <c r="B42" s="15">
        <f>$B$17+(-0.01)</f>
        <v>9.3531315614985108E-2</v>
      </c>
      <c r="C42" s="15">
        <f>$B$17+(-0.005)</f>
        <v>9.8531315614985099E-2</v>
      </c>
      <c r="D42" s="15">
        <f>$B$17+(0)</f>
        <v>0.1035313156149851</v>
      </c>
      <c r="E42" s="15">
        <f>$B$17+(0.005)</f>
        <v>0.10853131561498511</v>
      </c>
      <c r="F42" s="15">
        <f>$B$17+(0.01)</f>
        <v>0.1135313156149851</v>
      </c>
    </row>
    <row r="43" spans="1:6" x14ac:dyDescent="0.25">
      <c r="A43" s="15">
        <f>$B$18+(-0.01)</f>
        <v>0.04</v>
      </c>
      <c r="B43" s="25">
        <f>(((G22/(1+B$42)^1+H22/(1+B$42)^2+I22/(1+B$42)^3+J22/(1+B$42)^4+K22/(1+B$42)^5)+((K22*(1+$A43)/(B$42-$A43))/(1+B$42)^5))-B14+B33)/B35</f>
        <v>209.6331286847458</v>
      </c>
      <c r="C43" s="25">
        <f>(((G22/(1+C$42)^1+H22/(1+C$42)^2+I22/(1+C$42)^3+J22/(1+C$42)^4+K22/(1+C$42)^5)+((K22*(1+$A43)/(C$42-$A43))/(1+C$42)^5))-B14+B33)/B35</f>
        <v>192.47379158313069</v>
      </c>
      <c r="D43" s="25">
        <f>(((G22/(1+D$42)^1+H22/(1+D$42)^2+I22/(1+D$42)^3+J22/(1+D$42)^4+K22/(1+D$42)^5)+((K22*(1+$A43)/(D$42-$A43))/(1+D$42)^5))-B14+B33)/B35</f>
        <v>178.02274545811127</v>
      </c>
      <c r="E43" s="25">
        <f>(((G22/(1+E$42)^1+H22/(1+E$42)^2+I22/(1+E$42)^3+J22/(1+E$42)^4+K22/(1+E$42)^5)+((K22*(1+$A43)/(E$42-$A43))/(1+E$42)^5))-B14+B33)/B35</f>
        <v>165.68704843926113</v>
      </c>
      <c r="F43" s="25">
        <f>(((G22/(1+F$42)^1+H22/(1+F$42)^2+I22/(1+F$42)^3+J22/(1+F$42)^4+K22/(1+F$42)^5)+((K22*(1+$A43)/(F$42-$A43))/(1+F$42)^5))-B14+B33)/B35</f>
        <v>155.0350387374769</v>
      </c>
    </row>
    <row r="44" spans="1:6" x14ac:dyDescent="0.25">
      <c r="A44" s="15">
        <f>$B$18+(-0.005)</f>
        <v>4.5000000000000005E-2</v>
      </c>
      <c r="B44" s="25">
        <f>(((G22/(1+B$42)^1+H22/(1+B$42)^2+I22/(1+B$42)^3+J22/(1+B$42)^4+K22/(1+B$42)^5)+((K22*(1+$A44)/(B$42-$A44))/(1+B$42)^5))-B14+B33)/B35</f>
        <v>226.61496225523425</v>
      </c>
      <c r="C44" s="25">
        <f>(((G22/(1+C$42)^1+H22/(1+C$42)^2+I22/(1+C$42)^3+J22/(1+C$42)^4+K22/(1+C$42)^5)+((K22*(1+$A44)/(C$42-$A44))/(1+C$42)^5))-B14+B33)/B35</f>
        <v>206.29969408124495</v>
      </c>
      <c r="D44" s="25">
        <f>(((G22/(1+D$42)^1+H22/(1+D$42)^2+I22/(1+D$42)^3+J22/(1+D$42)^4+K22/(1+D$42)^5)+((K22*(1+$A44)/(D$42-$A44))/(1+D$42)^5))-B14+B33)/B35</f>
        <v>189.46270997450611</v>
      </c>
      <c r="E44" s="25">
        <f>(((G22/(1+E$42)^1+H22/(1+E$42)^2+I22/(1+E$42)^3+J22/(1+E$42)^4+K22/(1+E$42)^5)+((K22*(1+$A44)/(E$42-$A44))/(1+E$42)^5))-B14+B33)/B35</f>
        <v>175.28261620123325</v>
      </c>
      <c r="F44" s="25">
        <f>(((G22/(1+F$42)^1+H22/(1+F$42)^2+I22/(1+F$42)^3+J22/(1+F$42)^4+K22/(1+F$42)^5)+((K22*(1+$A44)/(F$42-$A44))/(1+F$42)^5))-B14+B33)/B35</f>
        <v>163.17773647583618</v>
      </c>
    </row>
    <row r="45" spans="1:6" x14ac:dyDescent="0.25">
      <c r="A45" s="15">
        <f>$B$18+(0)</f>
        <v>0.05</v>
      </c>
      <c r="B45" s="25">
        <f>(((G22/(1+B$42)^1+H22/(1+B$42)^2+I22/(1+B$42)^3+J22/(1+B$42)^4+K22/(1+B$42)^5)+((K22*(1+$A45)/(B$42-$A45))/(1+B$42)^5))-B14+B33)/B35</f>
        <v>247.49785724106914</v>
      </c>
      <c r="C45" s="25">
        <f>(((G22/(1+C$42)^1+H22/(1+C$42)^2+I22/(1+C$42)^3+J22/(1+C$42)^4+K22/(1+C$42)^5)+((K22*(1+$A45)/(C$42-$A45))/(1+C$42)^5))-B14+B33)/B35</f>
        <v>222.97445866416237</v>
      </c>
      <c r="D45" s="25">
        <f>(((G22/(1+D$42)^1+H22/(1+D$42)^2+I22/(1+D$42)^3+J22/(1+D$42)^4+K22/(1+D$42)^5)+((K22*(1+$A45)/(D$42-$A45))/(1+D$42)^5))-B14+B33)/B35</f>
        <v>203.0397347116276</v>
      </c>
      <c r="E45" s="25">
        <f>(((G22/(1+E$42)^1+H22/(1+E$42)^2+I22/(1+E$42)^3+J22/(1+E$42)^4+K22/(1+E$42)^5)+((K22*(1+$A45)/(E$42-$A45))/(1+E$42)^5))-B14+B33)/B35</f>
        <v>186.51757437518427</v>
      </c>
      <c r="F45" s="25">
        <f>(((G22/(1+F$42)^1+H22/(1+F$42)^2+I22/(1+F$42)^3+J22/(1+F$42)^4+K22/(1+F$42)^5)+((K22*(1+$A45)/(F$42-$A45))/(1+F$42)^5))-B14+B33)/B35</f>
        <v>172.60211674501321</v>
      </c>
    </row>
    <row r="46" spans="1:6" x14ac:dyDescent="0.25">
      <c r="A46" s="15">
        <f>$B$18+(0.005)</f>
        <v>5.5E-2</v>
      </c>
      <c r="B46" s="25">
        <f>(((G22/(1+B$42)^1+H22/(1+B$42)^2+I22/(1+B$42)^3+J22/(1+B$42)^4+K22/(1+B$42)^5)+((K22*(1+$A46)/(B$42-$A46))/(1+B$42)^5))-B14+B33)/B35</f>
        <v>273.80047243435871</v>
      </c>
      <c r="C46" s="25">
        <f>(((G22/(1+C$42)^1+H22/(1+C$42)^2+I22/(1+C$42)^3+J22/(1+C$42)^4+K22/(1+C$42)^5)+((K22*(1+$A46)/(C$42-$A46))/(1+C$42)^5))-B14+B33)/B35</f>
        <v>243.47974487210897</v>
      </c>
      <c r="D46" s="25">
        <f>(((G22/(1+D$42)^1+H22/(1+D$42)^2+I22/(1+D$42)^3+J22/(1+D$42)^4+K22/(1+D$42)^5)+((K22*(1+$A46)/(D$42-$A46))/(1+D$42)^5))-B14+B33)/B35</f>
        <v>219.41433964311929</v>
      </c>
      <c r="E46" s="25">
        <f>(((G22/(1+E$42)^1+H22/(1+E$42)^2+I22/(1+E$42)^3+J22/(1+E$42)^4+K22/(1+E$42)^5)+((K22*(1+$A46)/(E$42-$A46))/(1+E$42)^5))-B14+B33)/B35</f>
        <v>199.85129624378396</v>
      </c>
      <c r="F46" s="25">
        <f>(((G22/(1+F$42)^1+H22/(1+F$42)^2+I22/(1+F$42)^3+J22/(1+F$42)^4+K22/(1+F$42)^5)+((K22*(1+$A46)/(F$42-$A46))/(1+F$42)^5))-B14+B33)/B35</f>
        <v>183.63664026317676</v>
      </c>
    </row>
    <row r="47" spans="1:6" x14ac:dyDescent="0.25">
      <c r="A47" s="15">
        <f>$B$18+(0.01)</f>
        <v>6.0000000000000005E-2</v>
      </c>
      <c r="B47" s="25">
        <f>(((G22/(1+B$42)^1+H22/(1+B$42)^2+I22/(1+B$42)^3+J22/(1+B$42)^4+K22/(1+B$42)^5)+((K22*(1+$A47)/(B$42-$A47))/(1+B$42)^5))-B14+B33)/B35</f>
        <v>307.9472818415893</v>
      </c>
      <c r="C47" s="25">
        <f>(((G22/(1+C$42)^1+H22/(1+C$42)^2+I22/(1+C$42)^3+J22/(1+C$42)^4+K22/(1+C$42)^5)+((K22*(1+$A47)/(C$42-$A47))/(1+C$42)^5))-B14+B33)/B35</f>
        <v>269.30675079833384</v>
      </c>
      <c r="D47" s="25">
        <f>(((G22/(1+D$42)^1+H22/(1+D$42)^2+I22/(1+D$42)^3+J22/(1+D$42)^4+K22/(1+D$42)^5)+((K22*(1+$A47)/(D$42-$A47))/(1+D$42)^5))-B14+B33)/B35</f>
        <v>239.55051361982845</v>
      </c>
      <c r="E47" s="25">
        <f>(((G22/(1+E$42)^1+H22/(1+E$42)^2+I22/(1+E$42)^3+J22/(1+E$42)^4+K22/(1+E$42)^5)+((K22*(1+$A47)/(E$42-$A47))/(1+E$42)^5))-B14+B33)/B35</f>
        <v>215.93246513697719</v>
      </c>
      <c r="F47" s="25">
        <f>(((G22/(1+F$42)^1+H22/(1+F$42)^2+I22/(1+F$42)^3+J22/(1+F$42)^4+K22/(1+F$42)^5)+((K22*(1+$A47)/(F$42-$A47))/(1+F$42)^5))-B14+B33)/B35</f>
        <v>196.73248497088991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4"/>
  <sheetViews>
    <sheetView zoomScaleNormal="100" workbookViewId="0"/>
  </sheetViews>
  <sheetFormatPr defaultColWidth="8.7109375" defaultRowHeight="15" x14ac:dyDescent="0.25"/>
  <cols>
    <col min="1" max="1" width="26" customWidth="1"/>
    <col min="2" max="2" width="14" customWidth="1"/>
    <col min="3" max="7" width="12" customWidth="1"/>
  </cols>
  <sheetData>
    <row r="1" spans="1:4" ht="16.5" x14ac:dyDescent="0.25">
      <c r="A1" s="18" t="s">
        <v>147</v>
      </c>
    </row>
    <row r="2" spans="1:4" x14ac:dyDescent="0.25">
      <c r="A2" s="7" t="s">
        <v>148</v>
      </c>
    </row>
    <row r="4" spans="1:4" ht="45" x14ac:dyDescent="0.25">
      <c r="A4" s="26" t="s">
        <v>149</v>
      </c>
      <c r="B4" s="26" t="s">
        <v>150</v>
      </c>
      <c r="C4" s="26" t="s">
        <v>151</v>
      </c>
      <c r="D4" s="26" t="s">
        <v>152</v>
      </c>
    </row>
    <row r="5" spans="1:4" x14ac:dyDescent="0.25">
      <c r="A5" s="27" t="s">
        <v>153</v>
      </c>
      <c r="B5" s="28">
        <v>55</v>
      </c>
      <c r="C5" s="28">
        <v>35</v>
      </c>
      <c r="D5" s="28">
        <v>9</v>
      </c>
    </row>
    <row r="6" spans="1:4" x14ac:dyDescent="0.25">
      <c r="A6" s="27" t="s">
        <v>154</v>
      </c>
      <c r="B6" s="28">
        <v>65</v>
      </c>
      <c r="C6" s="28">
        <v>40</v>
      </c>
      <c r="D6" s="28">
        <v>8.5</v>
      </c>
    </row>
    <row r="7" spans="1:4" x14ac:dyDescent="0.25">
      <c r="A7" s="27" t="s">
        <v>155</v>
      </c>
      <c r="B7" s="28">
        <v>42</v>
      </c>
      <c r="C7" s="28">
        <v>28</v>
      </c>
      <c r="D7" s="28">
        <v>8</v>
      </c>
    </row>
    <row r="8" spans="1:4" x14ac:dyDescent="0.25">
      <c r="A8" s="27" t="s">
        <v>156</v>
      </c>
      <c r="B8" s="28">
        <v>48</v>
      </c>
      <c r="C8" s="28">
        <v>32</v>
      </c>
      <c r="D8" s="28">
        <v>6.5</v>
      </c>
    </row>
    <row r="9" spans="1:4" x14ac:dyDescent="0.25">
      <c r="A9" s="27" t="s">
        <v>157</v>
      </c>
      <c r="B9" s="28">
        <v>50</v>
      </c>
      <c r="C9" s="28">
        <v>30</v>
      </c>
      <c r="D9" s="28">
        <v>6</v>
      </c>
    </row>
    <row r="10" spans="1:4" x14ac:dyDescent="0.25">
      <c r="A10" s="11" t="s">
        <v>158</v>
      </c>
      <c r="B10" s="29">
        <f>AVERAGE(B5:B9)</f>
        <v>52</v>
      </c>
      <c r="C10" s="29">
        <f>AVERAGE(C5:C9)</f>
        <v>33</v>
      </c>
      <c r="D10" s="29">
        <f>AVERAGE(D5:D9)</f>
        <v>7.6</v>
      </c>
    </row>
    <row r="11" spans="1:4" x14ac:dyDescent="0.25">
      <c r="A11" s="30" t="s">
        <v>159</v>
      </c>
      <c r="B11" s="31">
        <f>Assumptions!B31/'Income Statement'!F15</f>
        <v>45.524083716400249</v>
      </c>
    </row>
    <row r="13" spans="1:4" x14ac:dyDescent="0.25">
      <c r="A13" s="3" t="s">
        <v>160</v>
      </c>
      <c r="B13" s="4"/>
      <c r="C13" s="4"/>
      <c r="D13" s="4"/>
    </row>
    <row r="14" spans="1:4" x14ac:dyDescent="0.25">
      <c r="A14" t="s">
        <v>161</v>
      </c>
      <c r="B14" s="20">
        <f>'Income Statement'!G15</f>
        <v>11.827232484708997</v>
      </c>
    </row>
    <row r="15" spans="1:4" x14ac:dyDescent="0.25">
      <c r="A15" t="s">
        <v>162</v>
      </c>
      <c r="B15" s="12">
        <f>'Income Statement'!G6</f>
        <v>2778.3552420000001</v>
      </c>
    </row>
    <row r="16" spans="1:4" x14ac:dyDescent="0.25">
      <c r="A16" t="s">
        <v>163</v>
      </c>
      <c r="B16" s="12">
        <f>'Income Statement'!G3</f>
        <v>14247.9756</v>
      </c>
    </row>
    <row r="18" spans="1:2" x14ac:dyDescent="0.25">
      <c r="A18" s="11" t="s">
        <v>164</v>
      </c>
      <c r="B18" s="23">
        <f>B10*B14</f>
        <v>615.01608920486785</v>
      </c>
    </row>
    <row r="19" spans="1:2" x14ac:dyDescent="0.25">
      <c r="A19" t="s">
        <v>165</v>
      </c>
      <c r="B19" s="13">
        <f>C10*B15</f>
        <v>91685.722986000008</v>
      </c>
    </row>
    <row r="20" spans="1:2" x14ac:dyDescent="0.25">
      <c r="A20" t="s">
        <v>166</v>
      </c>
      <c r="B20" s="12">
        <f>-'Balance Sheet'!F13+'Balance Sheet'!F5</f>
        <v>2500</v>
      </c>
    </row>
    <row r="21" spans="1:2" x14ac:dyDescent="0.25">
      <c r="A21" t="s">
        <v>167</v>
      </c>
      <c r="B21" s="23">
        <f>(B19+B20)/Assumptions!B30</f>
        <v>531.43216716131587</v>
      </c>
    </row>
    <row r="22" spans="1:2" x14ac:dyDescent="0.25">
      <c r="A22" t="s">
        <v>168</v>
      </c>
      <c r="B22" s="23">
        <f>D10*B16/Assumptions!B30</f>
        <v>610.98354996332444</v>
      </c>
    </row>
    <row r="24" spans="1:2" x14ac:dyDescent="0.25">
      <c r="A24" s="11" t="s">
        <v>169</v>
      </c>
      <c r="B24" s="23">
        <f>AVERAGE(B18,B21,B22)</f>
        <v>585.81060210983605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3"/>
  <sheetViews>
    <sheetView zoomScaleNormal="100" workbookViewId="0"/>
  </sheetViews>
  <sheetFormatPr defaultColWidth="8.7109375" defaultRowHeight="15" x14ac:dyDescent="0.25"/>
  <cols>
    <col min="1" max="1" width="34" customWidth="1"/>
    <col min="2" max="11" width="11" customWidth="1"/>
  </cols>
  <sheetData>
    <row r="1" spans="1:11" x14ac:dyDescent="0.25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</row>
    <row r="3" spans="1:11" x14ac:dyDescent="0.25">
      <c r="A3" s="3" t="s">
        <v>170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25">
      <c r="A4" s="5" t="s">
        <v>51</v>
      </c>
      <c r="B4" s="15">
        <f>'Income Statement'!B6/'Income Statement'!B3</f>
        <v>0.19873850641216381</v>
      </c>
      <c r="C4" s="15">
        <f>'Income Statement'!C6/'Income Statement'!C3</f>
        <v>0.19549189107615078</v>
      </c>
      <c r="D4" s="15">
        <f>'Income Statement'!D6/'Income Statement'!D3</f>
        <v>0.19348581628038028</v>
      </c>
      <c r="E4" s="15">
        <f>'Income Statement'!E6/'Income Statement'!E3</f>
        <v>0.18442900239590546</v>
      </c>
      <c r="F4" s="15">
        <f>'Income Statement'!F6/'Income Statement'!F3</f>
        <v>0.19003120695967504</v>
      </c>
      <c r="G4" s="15">
        <f>'Income Statement'!G6/'Income Statement'!G3</f>
        <v>0.19500000000000001</v>
      </c>
      <c r="H4" s="15">
        <f>'Income Statement'!H6/'Income Statement'!H3</f>
        <v>0.2</v>
      </c>
      <c r="I4" s="15">
        <f>'Income Statement'!I6/'Income Statement'!I3</f>
        <v>0.20499999999999999</v>
      </c>
      <c r="J4" s="15">
        <f>'Income Statement'!J6/'Income Statement'!J3</f>
        <v>0.21</v>
      </c>
      <c r="K4" s="15">
        <f>'Income Statement'!K6/'Income Statement'!K3</f>
        <v>0.21</v>
      </c>
    </row>
    <row r="5" spans="1:11" x14ac:dyDescent="0.25">
      <c r="A5" s="5" t="s">
        <v>171</v>
      </c>
      <c r="B5" s="15">
        <f>'Income Statement'!B9/'Income Statement'!B3</f>
        <v>0.17573850641216382</v>
      </c>
      <c r="C5" s="15">
        <f>'Income Statement'!C9/'Income Statement'!C3</f>
        <v>0.16849189107615078</v>
      </c>
      <c r="D5" s="15">
        <f>'Income Statement'!D9/'Income Statement'!D3</f>
        <v>0.16248581628038028</v>
      </c>
      <c r="E5" s="15">
        <f>'Income Statement'!E9/'Income Statement'!E3</f>
        <v>0.14942900239590545</v>
      </c>
      <c r="F5" s="15">
        <f>'Income Statement'!F9/'Income Statement'!F3</f>
        <v>0.15403120695967504</v>
      </c>
      <c r="G5" s="15">
        <f>'Income Statement'!G9/'Income Statement'!G3</f>
        <v>0.159</v>
      </c>
      <c r="H5" s="15">
        <f>'Income Statement'!H9/'Income Statement'!H3</f>
        <v>0.16400000000000001</v>
      </c>
      <c r="I5" s="15">
        <f>'Income Statement'!I9/'Income Statement'!I3</f>
        <v>0.16899999999999998</v>
      </c>
      <c r="J5" s="15">
        <f>'Income Statement'!J9/'Income Statement'!J3</f>
        <v>0.17400000000000002</v>
      </c>
      <c r="K5" s="15">
        <f>'Income Statement'!K9/'Income Statement'!K3</f>
        <v>0.17399999999999999</v>
      </c>
    </row>
    <row r="6" spans="1:11" x14ac:dyDescent="0.25">
      <c r="A6" s="5" t="s">
        <v>172</v>
      </c>
      <c r="B6" s="15">
        <f>'Income Statement'!B14/'Income Statement'!B3</f>
        <v>0.16016633788484921</v>
      </c>
      <c r="C6" s="15">
        <f>'Income Statement'!C14/'Income Statement'!C3</f>
        <v>0.14806299106062593</v>
      </c>
      <c r="D6" s="15">
        <f>'Income Statement'!D14/'Income Statement'!D3</f>
        <v>0.14855518497647133</v>
      </c>
      <c r="E6" s="15">
        <f>'Income Statement'!E14/'Income Statement'!E3</f>
        <v>0.1407295969943724</v>
      </c>
      <c r="F6" s="15">
        <f>'Income Statement'!F14/'Income Statement'!F3</f>
        <v>0.14164715442101122</v>
      </c>
      <c r="G6" s="15">
        <f>'Income Statement'!G14/'Income Statement'!G3</f>
        <v>0.14711847297555558</v>
      </c>
      <c r="H6" s="15">
        <f>'Income Statement'!H14/'Income Statement'!H3</f>
        <v>0.15082739947073778</v>
      </c>
      <c r="I6" s="15">
        <f>'Income Statement'!I14/'Income Statement'!I3</f>
        <v>0.15431262635273715</v>
      </c>
      <c r="J6" s="15">
        <f>'Income Statement'!J14/'Income Statement'!J3</f>
        <v>0.15780077896251785</v>
      </c>
      <c r="K6" s="15">
        <f>'Income Statement'!K14/'Income Statement'!K3</f>
        <v>0.15744197258278947</v>
      </c>
    </row>
    <row r="7" spans="1:11" x14ac:dyDescent="0.25">
      <c r="A7" s="5" t="s">
        <v>173</v>
      </c>
      <c r="B7" s="15">
        <f>'Income Statement'!B14/'Balance Sheet'!B12</f>
        <v>0.23631436314363144</v>
      </c>
      <c r="C7" s="15">
        <f>'Income Statement'!C14/'Balance Sheet'!C12</f>
        <v>0.20369287674501851</v>
      </c>
      <c r="D7" s="15">
        <f>'Income Statement'!D14/'Balance Sheet'!D12</f>
        <v>0.2053582971135629</v>
      </c>
      <c r="E7" s="15">
        <f>'Income Statement'!E14/'Balance Sheet'!E12</f>
        <v>0.16368854735672622</v>
      </c>
      <c r="F7" s="15">
        <f>'Income Statement'!F14/'Balance Sheet'!F12</f>
        <v>0.15572416666666666</v>
      </c>
      <c r="G7" s="15">
        <f>'Income Statement'!G14/'Balance Sheet'!G12</f>
        <v>0.16194837292169367</v>
      </c>
      <c r="H7" s="15">
        <f>'Income Statement'!H14/'Balance Sheet'!H12</f>
        <v>0.16734563162382807</v>
      </c>
      <c r="I7" s="15">
        <f>'Income Statement'!I14/'Balance Sheet'!I12</f>
        <v>0.17361951586878874</v>
      </c>
      <c r="J7" s="15">
        <f>'Income Statement'!J14/'Balance Sheet'!J12</f>
        <v>0.17952138362723988</v>
      </c>
      <c r="K7" s="15">
        <f>'Income Statement'!K14/'Balance Sheet'!K12</f>
        <v>0.18097874619516441</v>
      </c>
    </row>
    <row r="8" spans="1:11" x14ac:dyDescent="0.25">
      <c r="A8" s="5" t="s">
        <v>174</v>
      </c>
      <c r="B8" s="15">
        <f>'Income Statement'!B9/('Balance Sheet'!B12+'Balance Sheet'!B13)</f>
        <v>0.21428447480403134</v>
      </c>
      <c r="C8" s="15">
        <f>'Income Statement'!C9/('Balance Sheet'!C12+'Balance Sheet'!C13)</f>
        <v>0.19366892333765329</v>
      </c>
      <c r="D8" s="15">
        <f>'Income Statement'!D9/('Balance Sheet'!D12+'Balance Sheet'!D13)</f>
        <v>0.18883872294575096</v>
      </c>
      <c r="E8" s="15">
        <f>'Income Statement'!E9/('Balance Sheet'!E12+'Balance Sheet'!E13)</f>
        <v>0.14957306190741773</v>
      </c>
      <c r="F8" s="15">
        <f>'Income Statement'!F9/('Balance Sheet'!F12+'Balance Sheet'!F13)</f>
        <v>0.14725126666666669</v>
      </c>
      <c r="G8" s="15">
        <f>'Income Statement'!G9/('Balance Sheet'!G12+'Balance Sheet'!G13)</f>
        <v>0.15328423967378119</v>
      </c>
      <c r="H8" s="15">
        <f>'Income Statement'!H9/('Balance Sheet'!H12+'Balance Sheet'!H13)</f>
        <v>0.16048887383414334</v>
      </c>
      <c r="I8" s="15">
        <f>'Income Statement'!I9/('Balance Sheet'!I12+'Balance Sheet'!I13)</f>
        <v>0.1688964907749822</v>
      </c>
      <c r="J8" s="15">
        <f>'Income Statement'!J9/('Balance Sheet'!J12+'Balance Sheet'!J13)</f>
        <v>0.17706474203862682</v>
      </c>
      <c r="K8" s="15">
        <f>'Income Statement'!K9/('Balance Sheet'!K12+'Balance Sheet'!K13)</f>
        <v>0.18010746991436333</v>
      </c>
    </row>
    <row r="10" spans="1:11" x14ac:dyDescent="0.25">
      <c r="A10" s="3" t="s">
        <v>175</v>
      </c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5">
      <c r="A11" s="5" t="s">
        <v>176</v>
      </c>
      <c r="B11" s="16">
        <f>'Balance Sheet'!B13/'Balance Sheet'!B12</f>
        <v>0.21002710027100271</v>
      </c>
      <c r="C11" s="16">
        <f>'Balance Sheet'!C13/'Balance Sheet'!C12</f>
        <v>0.19687388139840115</v>
      </c>
      <c r="D11" s="16">
        <f>'Balance Sheet'!D13/'Balance Sheet'!D12</f>
        <v>0.1894572606709016</v>
      </c>
      <c r="E11" s="16">
        <f>'Balance Sheet'!E13/'Balance Sheet'!E12</f>
        <v>0.16202203499675957</v>
      </c>
      <c r="F11" s="16">
        <f>'Balance Sheet'!F13/'Balance Sheet'!F12</f>
        <v>0.15</v>
      </c>
      <c r="G11" s="16">
        <f>'Balance Sheet'!G13/'Balance Sheet'!G12</f>
        <v>0.14184985452434137</v>
      </c>
      <c r="H11" s="16">
        <f>'Balance Sheet'!H13/'Balance Sheet'!H12</f>
        <v>0.13379113095781231</v>
      </c>
      <c r="I11" s="16">
        <f>'Balance Sheet'!I13/'Balance Sheet'!I12</f>
        <v>0.12580495669151376</v>
      </c>
      <c r="J11" s="16">
        <f>'Balance Sheet'!J13/'Balance Sheet'!J12</f>
        <v>0.11795468775472072</v>
      </c>
      <c r="K11" s="16">
        <f>'Balance Sheet'!K13/'Balance Sheet'!K12</f>
        <v>0.11051537471237477</v>
      </c>
    </row>
    <row r="12" spans="1:11" x14ac:dyDescent="0.25">
      <c r="A12" s="5" t="s">
        <v>177</v>
      </c>
      <c r="B12" s="25">
        <f>'Income Statement'!B9/'Income Statement'!B11</f>
        <v>42.523563555555555</v>
      </c>
      <c r="C12" s="25">
        <f>'Income Statement'!C9/'Income Statement'!C11</f>
        <v>41.115195132275133</v>
      </c>
      <c r="D12" s="25">
        <f>'Income Statement'!D9/'Income Statement'!D11</f>
        <v>40.624352532123957</v>
      </c>
      <c r="E12" s="25">
        <f>'Income Statement'!E9/'Income Statement'!E11</f>
        <v>36.037221802301161</v>
      </c>
      <c r="F12" s="25">
        <f>'Income Statement'!F9/'Income Statement'!F11</f>
        <v>37.15082099422451</v>
      </c>
      <c r="G12" s="25">
        <f>'Income Statement'!G9/'Income Statement'!G11</f>
        <v>39.444938013041288</v>
      </c>
      <c r="H12" s="25">
        <f>'Income Statement'!H9/'Income Statement'!H11</f>
        <v>42.235262768561014</v>
      </c>
      <c r="I12" s="25">
        <f>'Income Statement'!I9/'Income Statement'!I11</f>
        <v>45.595443372099247</v>
      </c>
      <c r="J12" s="25">
        <f>'Income Statement'!J9/'Income Statement'!J11</f>
        <v>49.179869605070721</v>
      </c>
      <c r="K12" s="25">
        <f>'Income Statement'!K9/'Income Statement'!K11</f>
        <v>51.521768157693131</v>
      </c>
    </row>
    <row r="14" spans="1:11" x14ac:dyDescent="0.25">
      <c r="A14" s="3" t="s">
        <v>178</v>
      </c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25">
      <c r="A15" s="5" t="s">
        <v>61</v>
      </c>
      <c r="B15" s="32">
        <f>'Balance Sheet'!B19/'Income Statement'!B3*365</f>
        <v>24.000000000000004</v>
      </c>
      <c r="C15" s="32">
        <f>'Balance Sheet'!C19/'Income Statement'!C3*365</f>
        <v>23.999999999999996</v>
      </c>
      <c r="D15" s="32">
        <f>'Balance Sheet'!D19/'Income Statement'!D3*365</f>
        <v>23.999999999999996</v>
      </c>
      <c r="E15" s="32">
        <f>'Balance Sheet'!E19/'Income Statement'!E3*365</f>
        <v>24.000000000000004</v>
      </c>
      <c r="F15" s="32">
        <f>'Balance Sheet'!F19/'Income Statement'!F3*365</f>
        <v>24.000000000000004</v>
      </c>
      <c r="G15" s="32">
        <f>'Balance Sheet'!G19/'Income Statement'!G3*365</f>
        <v>24.000000000000004</v>
      </c>
      <c r="H15" s="32">
        <f>'Balance Sheet'!H19/'Income Statement'!H3*365</f>
        <v>24.000000000000004</v>
      </c>
      <c r="I15" s="32">
        <f>'Balance Sheet'!I19/'Income Statement'!I3*365</f>
        <v>23.999999999999996</v>
      </c>
      <c r="J15" s="32">
        <f>'Balance Sheet'!J19/'Income Statement'!J3*365</f>
        <v>24.000000000000004</v>
      </c>
      <c r="K15" s="32">
        <f>'Balance Sheet'!K19/'Income Statement'!K3*365</f>
        <v>24.000000000000004</v>
      </c>
    </row>
    <row r="16" spans="1:11" x14ac:dyDescent="0.25">
      <c r="A16" s="5" t="s">
        <v>63</v>
      </c>
      <c r="B16" s="32">
        <f>'Balance Sheet'!B20/('Income Statement'!B3-'Income Statement'!B6)*365</f>
        <v>150</v>
      </c>
      <c r="C16" s="32">
        <f>'Balance Sheet'!C20/('Income Statement'!C3-'Income Statement'!C6)*365</f>
        <v>150</v>
      </c>
      <c r="D16" s="32">
        <f>'Balance Sheet'!D20/('Income Statement'!D3-'Income Statement'!D6)*365</f>
        <v>150</v>
      </c>
      <c r="E16" s="32">
        <f>'Balance Sheet'!E20/('Income Statement'!E3-'Income Statement'!E6)*365</f>
        <v>150</v>
      </c>
      <c r="F16" s="32">
        <f>'Balance Sheet'!F20/('Income Statement'!F3-'Income Statement'!F6)*365</f>
        <v>150</v>
      </c>
      <c r="G16" s="32">
        <f>'Balance Sheet'!G20/('Income Statement'!G3-'Income Statement'!G6)*365</f>
        <v>150</v>
      </c>
      <c r="H16" s="32">
        <f>'Balance Sheet'!H20/('Income Statement'!H3-'Income Statement'!H6)*365</f>
        <v>150</v>
      </c>
      <c r="I16" s="32">
        <f>'Balance Sheet'!I20/('Income Statement'!I3-'Income Statement'!I6)*365</f>
        <v>150</v>
      </c>
      <c r="J16" s="32">
        <f>'Balance Sheet'!J20/('Income Statement'!J3-'Income Statement'!J6)*365</f>
        <v>150</v>
      </c>
      <c r="K16" s="32">
        <f>'Balance Sheet'!K20/('Income Statement'!K3-'Income Statement'!K6)*365</f>
        <v>150</v>
      </c>
    </row>
    <row r="17" spans="1:11" x14ac:dyDescent="0.25">
      <c r="A17" s="5" t="s">
        <v>65</v>
      </c>
      <c r="B17" s="32">
        <f>'Balance Sheet'!B21/('Income Statement'!B3-'Income Statement'!B6)*365</f>
        <v>95</v>
      </c>
      <c r="C17" s="32">
        <f>'Balance Sheet'!C21/('Income Statement'!C3-'Income Statement'!C6)*365</f>
        <v>95</v>
      </c>
      <c r="D17" s="32">
        <f>'Balance Sheet'!D21/('Income Statement'!D3-'Income Statement'!D6)*365</f>
        <v>95</v>
      </c>
      <c r="E17" s="32">
        <f>'Balance Sheet'!E21/('Income Statement'!E3-'Income Statement'!E6)*365</f>
        <v>95</v>
      </c>
      <c r="F17" s="32">
        <f>'Balance Sheet'!F21/('Income Statement'!F3-'Income Statement'!F6)*365</f>
        <v>95.000000000000014</v>
      </c>
      <c r="G17" s="32">
        <f>'Balance Sheet'!G21/('Income Statement'!G3-'Income Statement'!G6)*365</f>
        <v>95</v>
      </c>
      <c r="H17" s="32">
        <f>'Balance Sheet'!H21/('Income Statement'!H3-'Income Statement'!H6)*365</f>
        <v>95</v>
      </c>
      <c r="I17" s="32">
        <f>'Balance Sheet'!I21/('Income Statement'!I3-'Income Statement'!I6)*365</f>
        <v>95</v>
      </c>
      <c r="J17" s="32">
        <f>'Balance Sheet'!J21/('Income Statement'!J3-'Income Statement'!J6)*365</f>
        <v>95.000000000000014</v>
      </c>
      <c r="K17" s="32">
        <f>'Balance Sheet'!K21/('Income Statement'!K3-'Income Statement'!K6)*365</f>
        <v>95</v>
      </c>
    </row>
    <row r="18" spans="1:11" x14ac:dyDescent="0.25">
      <c r="A18" s="5" t="s">
        <v>179</v>
      </c>
      <c r="B18" s="16">
        <f>'Income Statement'!B3/'Balance Sheet'!B7</f>
        <v>0.85944831157999868</v>
      </c>
      <c r="C18" s="16">
        <f>'Income Statement'!C3/'Balance Sheet'!C7</f>
        <v>0.84960350502932014</v>
      </c>
      <c r="D18" s="16">
        <f>'Income Statement'!D3/'Balance Sheet'!D7</f>
        <v>0.84380353590276291</v>
      </c>
      <c r="E18" s="16">
        <f>'Income Statement'!E3/'Balance Sheet'!E7</f>
        <v>0.80857509590541998</v>
      </c>
      <c r="F18" s="16">
        <f>'Income Statement'!F3/'Balance Sheet'!F7</f>
        <v>0.7931840401723621</v>
      </c>
      <c r="G18" s="16">
        <f>'Income Statement'!G3/'Balance Sheet'!G7</f>
        <v>0.83891032885324524</v>
      </c>
      <c r="H18" s="16">
        <f>'Income Statement'!H3/'Balance Sheet'!H7</f>
        <v>0.84139283877915139</v>
      </c>
      <c r="I18" s="16">
        <f>'Income Statement'!I3/'Balance Sheet'!I7</f>
        <v>0.84799870462483118</v>
      </c>
      <c r="J18" s="16">
        <f>'Income Statement'!J3/'Balance Sheet'!J7</f>
        <v>0.85301736919219162</v>
      </c>
      <c r="K18" s="16">
        <f>'Income Statement'!K3/'Balance Sheet'!K7</f>
        <v>0.85836354491198996</v>
      </c>
    </row>
    <row r="20" spans="1:11" x14ac:dyDescent="0.25">
      <c r="A20" s="3" t="s">
        <v>180</v>
      </c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25">
      <c r="A21" s="5" t="s">
        <v>87</v>
      </c>
      <c r="B21" s="16">
        <f>'Income Statement'!B15</f>
        <v>9.8403204875021171</v>
      </c>
      <c r="C21" s="16">
        <f>'Income Statement'!C15</f>
        <v>9.6323985781188295</v>
      </c>
      <c r="D21" s="16">
        <f>'Income Statement'!D15</f>
        <v>10.397111098572477</v>
      </c>
      <c r="E21" s="16">
        <f>'Income Statement'!E15</f>
        <v>9.9757377419172837</v>
      </c>
      <c r="F21" s="16">
        <f>'Income Statement'!F15</f>
        <v>10.543869548044915</v>
      </c>
      <c r="G21" s="16">
        <f>'Income Statement'!G15</f>
        <v>11.827232484708997</v>
      </c>
      <c r="H21" s="16">
        <f>'Income Statement'!H15</f>
        <v>13.216688862736964</v>
      </c>
      <c r="I21" s="16">
        <f>'Income Statement'!I15</f>
        <v>14.874301187833966</v>
      </c>
      <c r="J21" s="16">
        <f>'Income Statement'!J15</f>
        <v>16.731579303548276</v>
      </c>
      <c r="K21" s="16">
        <f>'Income Statement'!K15</f>
        <v>18.362888662684597</v>
      </c>
    </row>
    <row r="22" spans="1:11" x14ac:dyDescent="0.25">
      <c r="A22" s="5" t="s">
        <v>181</v>
      </c>
      <c r="B22" s="16">
        <f>'Balance Sheet'!B12/Assumptions!$B$30</f>
        <v>41.640805732663772</v>
      </c>
      <c r="C22" s="16">
        <f>'Balance Sheet'!C12/Assumptions!$B$30</f>
        <v>47.288833718896349</v>
      </c>
      <c r="D22" s="16">
        <f>'Balance Sheet'!D12/Assumptions!$B$30</f>
        <v>50.629125994470463</v>
      </c>
      <c r="E22" s="16">
        <f>'Balance Sheet'!E12/Assumptions!$B$30</f>
        <v>60.943406872425662</v>
      </c>
      <c r="F22" s="16">
        <f>'Balance Sheet'!F12/Assumptions!$B$30</f>
        <v>67.708627207583376</v>
      </c>
      <c r="G22" s="16">
        <f>'Balance Sheet'!G12/Assumptions!$B$30</f>
        <v>73.030881825702423</v>
      </c>
      <c r="H22" s="16">
        <f>'Balance Sheet'!H12/Assumptions!$B$30</f>
        <v>78.978391813934053</v>
      </c>
      <c r="I22" s="16">
        <f>'Balance Sheet'!I12/Assumptions!$B$30</f>
        <v>85.671827348459331</v>
      </c>
      <c r="J22" s="16">
        <f>'Balance Sheet'!J12/Assumptions!$B$30</f>
        <v>93.201038035056058</v>
      </c>
      <c r="K22" s="16">
        <f>'Balance Sheet'!K12/Assumptions!$B$30</f>
        <v>101.46433793326412</v>
      </c>
    </row>
    <row r="23" spans="1:11" x14ac:dyDescent="0.25">
      <c r="A23" s="5" t="s">
        <v>182</v>
      </c>
      <c r="B23" s="29">
        <f>Assumptions!$B$31/'Income Statement'!B15</f>
        <v>48.778899082568799</v>
      </c>
      <c r="C23" s="29">
        <f>Assumptions!$B$31/'Income Statement'!C15</f>
        <v>49.831824971443631</v>
      </c>
      <c r="D23" s="29">
        <f>Assumptions!$B$31/'Income Statement'!D15</f>
        <v>46.166670284585493</v>
      </c>
      <c r="E23" s="29">
        <f>Assumptions!$B$31/'Income Statement'!E15</f>
        <v>48.11674208144796</v>
      </c>
      <c r="F23" s="29">
        <f>Assumptions!$B$31/'Income Statement'!F15</f>
        <v>45.524083716400249</v>
      </c>
      <c r="G23" s="29">
        <f>Assumptions!$B$31/'Income Statement'!G15</f>
        <v>40.58430411514906</v>
      </c>
      <c r="H23" s="29">
        <f>Assumptions!$B$31/'Income Statement'!H15</f>
        <v>36.317719588096566</v>
      </c>
      <c r="I23" s="29">
        <f>Assumptions!$B$31/'Income Statement'!I15</f>
        <v>32.270423594259547</v>
      </c>
      <c r="J23" s="29">
        <f>Assumptions!$B$31/'Income Statement'!J15</f>
        <v>28.688266139838102</v>
      </c>
      <c r="K23" s="29">
        <f>Assumptions!$B$31/'Income Statement'!K15</f>
        <v>26.139678174676984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Income Statement</vt:lpstr>
      <vt:lpstr>Balance Sheet</vt:lpstr>
      <vt:lpstr>Cash Flow Statement</vt:lpstr>
      <vt:lpstr>DCF Valuation</vt:lpstr>
      <vt:lpstr>Relative Valuation</vt:lpstr>
      <vt:lpstr>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Tarana Bansal</cp:lastModifiedBy>
  <cp:revision>0</cp:revision>
  <dcterms:created xsi:type="dcterms:W3CDTF">2026-07-24T05:58:35Z</dcterms:created>
  <dcterms:modified xsi:type="dcterms:W3CDTF">2026-08-14T18:48:53Z</dcterms:modified>
  <dc:language>en-US</dc:language>
</cp:coreProperties>
</file>
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Margin calls" sheetId="2" state="visible" r:id="rId4"/>
    <sheet name="Collater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<sst xmlns="http://schemas.openxmlformats.org/spreadsheetml/2006/main" count="143" uniqueCount="86">
  <si>
    <t xml:space="preserve">OTC Collateral &amp; Margin Call Tracker</t>
  </si>
  <si>
    <t xml:space="preserve">Synthetic portfolio for demonstration. Blue cells are inputs; black cells are formulas.</t>
  </si>
  <si>
    <t xml:space="preserve">Overnight market moves</t>
  </si>
  <si>
    <t xml:space="preserve">Rates move (bp)</t>
  </si>
  <si>
    <t xml:space="preserve">Parallel move in rates, basis points</t>
  </si>
  <si>
    <t xml:space="preserve">USD vs basket (%)</t>
  </si>
  <si>
    <t xml:space="preserve">Percent move</t>
  </si>
  <si>
    <t xml:space="preserve">Equities (%)</t>
  </si>
  <si>
    <t xml:space="preserve">Commodities (%)</t>
  </si>
  <si>
    <t xml:space="preserve">Dispute tolerance (% of exposure)</t>
  </si>
  <si>
    <t xml:space="preserve">A dispute is raised when our call and the counterparty's differ by more than this, or $500k</t>
  </si>
  <si>
    <t xml:space="preserve">Minimum dispute amount ($)</t>
  </si>
  <si>
    <t xml:space="preserve">Floor for the dispute tolerance</t>
  </si>
  <si>
    <t xml:space="preserve">How to use: change the market moves or tolerance; the Margin calls and Collateral sheets update.</t>
  </si>
  <si>
    <t xml:space="preserve">Margin calls by counterparty</t>
  </si>
  <si>
    <t xml:space="preserve">Exposure = base MTM + sensitivities × moves. Positive exposure: the counterparty owes us. Deliveries round up, returns round down.</t>
  </si>
  <si>
    <t xml:space="preserve">Counterparty</t>
  </si>
  <si>
    <t xml:space="preserve">Type</t>
  </si>
  <si>
    <t xml:space="preserve">Product</t>
  </si>
  <si>
    <t xml:space="preserve">Base exposure ($)</t>
  </si>
  <si>
    <t xml:space="preserve">Rates sens. ($/bp)</t>
  </si>
  <si>
    <t xml:space="preserve">FX sens. ($/%)</t>
  </si>
  <si>
    <t xml:space="preserve">Equity sens. ($/%)</t>
  </si>
  <si>
    <t xml:space="preserve">Commodity sens. ($/%)</t>
  </si>
  <si>
    <t xml:space="preserve">Threshold ($)</t>
  </si>
  <si>
    <t xml:space="preserve">MTA ($)</t>
  </si>
  <si>
    <t xml:space="preserve">Rounding ($)</t>
  </si>
  <si>
    <t xml:space="preserve">Collateral balance ($)</t>
  </si>
  <si>
    <t xml:space="preserve">Their MTM difference ($)</t>
  </si>
  <si>
    <t xml:space="preserve">Exposure ($)</t>
  </si>
  <si>
    <t xml:space="preserve">Required balance ($)</t>
  </si>
  <si>
    <t xml:space="preserve">Movement ($)</t>
  </si>
  <si>
    <t xml:space="preserve">Direction</t>
  </si>
  <si>
    <t xml:space="preserve">Call amount ($)</t>
  </si>
  <si>
    <t xml:space="preserve">Their movement ($)</t>
  </si>
  <si>
    <t xml:space="preserve">Status</t>
  </si>
  <si>
    <t xml:space="preserve">Undisputed amount ($)</t>
  </si>
  <si>
    <t xml:space="preserve">Aldridge Capital</t>
  </si>
  <si>
    <t xml:space="preserve">Hedge fund</t>
  </si>
  <si>
    <t xml:space="preserve">Rates swaps</t>
  </si>
  <si>
    <t xml:space="preserve">Northbay Pension Fund</t>
  </si>
  <si>
    <t xml:space="preserve">Pension</t>
  </si>
  <si>
    <t xml:space="preserve">Kestrel Macro Fund</t>
  </si>
  <si>
    <t xml:space="preserve">FX forwards</t>
  </si>
  <si>
    <t xml:space="preserve">Harbour Insurance</t>
  </si>
  <si>
    <t xml:space="preserve">Insurer</t>
  </si>
  <si>
    <t xml:space="preserve">Equity options</t>
  </si>
  <si>
    <t xml:space="preserve">Solent Asset Management</t>
  </si>
  <si>
    <t xml:space="preserve">Asset manager</t>
  </si>
  <si>
    <t xml:space="preserve">Repo</t>
  </si>
  <si>
    <t xml:space="preserve">Meridian Bank</t>
  </si>
  <si>
    <t xml:space="preserve">Bank</t>
  </si>
  <si>
    <t xml:space="preserve">Rates and FX</t>
  </si>
  <si>
    <t xml:space="preserve">Tarn Energy Trading</t>
  </si>
  <si>
    <t xml:space="preserve">Commodity trader</t>
  </si>
  <si>
    <t xml:space="preserve">Commodity swaps</t>
  </si>
  <si>
    <t xml:space="preserve">Vale Corporate Treasury</t>
  </si>
  <si>
    <t xml:space="preserve">Corporate</t>
  </si>
  <si>
    <t xml:space="preserve">Summary</t>
  </si>
  <si>
    <t xml:space="preserve">Calls today</t>
  </si>
  <si>
    <t xml:space="preserve">Collateral due in ($)</t>
  </si>
  <si>
    <t xml:space="preserve">Collateral due out ($)</t>
  </si>
  <si>
    <t xml:space="preserve">Disputes</t>
  </si>
  <si>
    <t xml:space="preserve">Amount in dispute ($)</t>
  </si>
  <si>
    <t xml:space="preserve">Sensitivities: rates in $ per basis point, others in $ per 1% move. Their MTM difference = counterparty's valuation minus ours.</t>
  </si>
  <si>
    <t xml:space="preserve">Collateral we post: cheapest to deliver</t>
  </si>
  <si>
    <t xml:space="preserve">For each call we must meet, pick the eligible asset with the lowest cost per unit of collateral value after haircut. Inventory assumed sufficient.</t>
  </si>
  <si>
    <t xml:space="preserve">Asset</t>
  </si>
  <si>
    <t xml:space="preserve">Haircut</t>
  </si>
  <si>
    <t xml:space="preserve">Cost (bp a year)</t>
  </si>
  <si>
    <t xml:space="preserve">Cost per unit of value (bp)</t>
  </si>
  <si>
    <t xml:space="preserve">Cash (USD)</t>
  </si>
  <si>
    <t xml:space="preserve">US Treasuries</t>
  </si>
  <si>
    <t xml:space="preserve">German Bunds</t>
  </si>
  <si>
    <t xml:space="preserve">IG corporate bonds</t>
  </si>
  <si>
    <t xml:space="preserve">Main-index equities</t>
  </si>
  <si>
    <t xml:space="preserve">Eligibility by counterparty (from each CSA): Y = eligible</t>
  </si>
  <si>
    <t xml:space="preserve">Call to meet ($)</t>
  </si>
  <si>
    <t xml:space="preserve">Cheapest eligible asset</t>
  </si>
  <si>
    <t xml:space="preserve">Market value to deliver ($)</t>
  </si>
  <si>
    <t xml:space="preserve">Annual cost ($)</t>
  </si>
  <si>
    <t xml:space="preserve">Cost if all cash ($)</t>
  </si>
  <si>
    <t xml:space="preserve">Y</t>
  </si>
  <si>
    <t xml:space="preserve">N</t>
  </si>
  <si>
    <t xml:space="preserve">Totals</t>
  </si>
  <si>
    <t xml:space="preserve">Annual saving vs posting cash ($)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</si>
</sst>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%"/>
    <numFmt numFmtId="167" formatCode="\$#,##0"/>
    <numFmt numFmtId="168" formatCode="\$#,##0;&quot;($&quot;#,##0\);\-"/>
    <numFmt numFmtId="169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1216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01216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12169"/>
        <bgColor rgb="FF0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4122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12169"/>
      <rgbColor rgb="FF339966"/>
      <rgbColor rgb="FF003300"/>
      <rgbColor rgb="FF333300"/>
      <rgbColor rgb="FFC412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</v>
      </c>
      <c r="C5" s="2" t="s">
        <v>4</v>
      </c>
    </row>
    <row r="6" customFormat="false" ht="15" hidden="false" customHeight="false" outlineLevel="0" collapsed="false">
      <c r="A6" s="4" t="s">
        <v>5</v>
      </c>
      <c r="B6" s="5" t="n">
        <v>0</v>
      </c>
      <c r="C6" s="2" t="s">
        <v>6</v>
      </c>
    </row>
    <row r="7" customFormat="false" ht="15" hidden="false" customHeight="false" outlineLevel="0" collapsed="false">
      <c r="A7" s="4" t="s">
        <v>7</v>
      </c>
      <c r="B7" s="5" t="n">
        <v>0</v>
      </c>
      <c r="C7" s="2" t="s">
        <v>6</v>
      </c>
    </row>
    <row r="8" customFormat="false" ht="15" hidden="false" customHeight="false" outlineLevel="0" collapsed="false">
      <c r="A8" s="4" t="s">
        <v>8</v>
      </c>
      <c r="B8" s="5" t="n">
        <v>0</v>
      </c>
      <c r="C8" s="2" t="s">
        <v>6</v>
      </c>
    </row>
    <row r="9" customFormat="false" ht="15" hidden="false" customHeight="false" outlineLevel="0" collapsed="false">
      <c r="A9" s="4" t="s">
        <v>9</v>
      </c>
      <c r="B9" s="6" t="n">
        <v>0.05</v>
      </c>
      <c r="C9" s="2" t="s">
        <v>10</v>
      </c>
    </row>
    <row r="10" customFormat="false" ht="15" hidden="false" customHeight="false" outlineLevel="0" collapsed="false">
      <c r="A10" s="4" t="s">
        <v>11</v>
      </c>
      <c r="B10" s="7" t="n">
        <v>500000</v>
      </c>
      <c r="C10" s="2" t="s">
        <v>12</v>
      </c>
    </row>
    <row r="13" customFormat="false" ht="15" hidden="false" customHeight="false" outlineLevel="0" collapsed="false">
      <c r="A13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1" min="10" style="0" width="11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6" min="14" style="0" width="15"/>
    <col collapsed="false" customWidth="true" hidden="false" outlineLevel="0" max="17" min="17" style="0" width="24"/>
    <col collapsed="false" customWidth="true" hidden="false" outlineLevel="0" max="19" min="18" style="0" width="15"/>
    <col collapsed="false" customWidth="true" hidden="false" outlineLevel="0" max="20" min="20" style="0" width="24"/>
    <col collapsed="false" customWidth="true" hidden="false" outlineLevel="0" max="21" min="21" style="0" width="16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23.85" hidden="false" customHeight="fals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  <c r="O4" s="8" t="s">
        <v>30</v>
      </c>
      <c r="P4" s="8" t="s">
        <v>31</v>
      </c>
      <c r="Q4" s="8" t="s">
        <v>32</v>
      </c>
      <c r="R4" s="8" t="s">
        <v>33</v>
      </c>
      <c r="S4" s="8" t="s">
        <v>34</v>
      </c>
      <c r="T4" s="8" t="s">
        <v>35</v>
      </c>
      <c r="U4" s="8" t="s">
        <v>36</v>
      </c>
    </row>
    <row r="5" customFormat="false" ht="15" hidden="false" customHeight="false" outlineLevel="0" collapsed="false">
      <c r="A5" s="4" t="s">
        <v>37</v>
      </c>
      <c r="B5" s="4" t="s">
        <v>38</v>
      </c>
      <c r="C5" s="4" t="s">
        <v>39</v>
      </c>
      <c r="D5" s="9" t="n">
        <v>184000000</v>
      </c>
      <c r="E5" s="9" t="n">
        <v>-450000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500000</v>
      </c>
      <c r="K5" s="9" t="n">
        <v>100000</v>
      </c>
      <c r="L5" s="9" t="n">
        <v>150000000</v>
      </c>
      <c r="M5" s="9" t="n">
        <v>1000000</v>
      </c>
      <c r="N5" s="10" t="n">
        <f aca="false">D5+E5*Inputs!$B$5+F5*Inputs!$B$6+G5*Inputs!$B$7+H5*Inputs!$B$8</f>
        <v>184000000</v>
      </c>
      <c r="O5" s="10" t="n">
        <f aca="false">IF(N5&gt;0,MAX(0,N5-I5),-MAX(0,-N5-I5))</f>
        <v>184000000</v>
      </c>
      <c r="P5" s="10" t="n">
        <f aca="false">O5-L5</f>
        <v>34000000</v>
      </c>
      <c r="Q5" s="4" t="str">
        <f aca="false">IF(ABS(P5)&lt;J5,IF(ABS(O5)&lt;1,"Under threshold","Below MTA"),IF(P5&gt;0,IF(L5&lt;0,"Recall from counterparty","We call"),IF(L5&gt;0,"Return to counterparty","Counterparty calls us")))</f>
        <v>We call</v>
      </c>
      <c r="R5" s="10" t="n">
        <f aca="false">IF(OR(Q5="Under threshold",Q5="Below MTA"),0,IF(OR(Q5="We call",Q5="Counterparty calls us"),ROUNDUP(ROUND(ABS(P5)/K5,6),0),ROUNDDOWN(ROUND(ABS(P5)/K5,6),0))*K5)</f>
        <v>34000000</v>
      </c>
      <c r="S5" s="10" t="n">
        <f aca="false">IF(N5+M5&gt;0,MAX(0,N5+M5-I5),-MAX(0,-(N5+M5)-I5))-L5</f>
        <v>35000000</v>
      </c>
      <c r="T5" s="4" t="str">
        <f aca="false">IF(R5=0,Q5,IF(ABS(P5-S5)&gt;MAX(Inputs!$B$9*ABS(N5),Inputs!$B$10),"Disputed","Agreed"))</f>
        <v>Agreed</v>
      </c>
      <c r="U5" s="10" t="n">
        <f aca="false">IF(T5="Disputed",MIN(ABS(P5),ABS(S5)),R5)</f>
        <v>34000000</v>
      </c>
    </row>
    <row r="6" customFormat="false" ht="15" hidden="false" customHeight="false" outlineLevel="0" collapsed="false">
      <c r="A6" s="4" t="s">
        <v>40</v>
      </c>
      <c r="B6" s="4" t="s">
        <v>41</v>
      </c>
      <c r="C6" s="4" t="s">
        <v>39</v>
      </c>
      <c r="D6" s="9" t="n">
        <v>-220000000</v>
      </c>
      <c r="E6" s="9" t="n">
        <v>600000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500000</v>
      </c>
      <c r="K6" s="9" t="n">
        <v>100000</v>
      </c>
      <c r="L6" s="9" t="n">
        <v>-195000000</v>
      </c>
      <c r="M6" s="9" t="n">
        <v>-500000</v>
      </c>
      <c r="N6" s="10" t="n">
        <f aca="false">D6+E6*Inputs!$B$5+F6*Inputs!$B$6+G6*Inputs!$B$7+H6*Inputs!$B$8</f>
        <v>-220000000</v>
      </c>
      <c r="O6" s="10" t="n">
        <f aca="false">IF(N6&gt;0,MAX(0,N6-I6),-MAX(0,-N6-I6))</f>
        <v>-220000000</v>
      </c>
      <c r="P6" s="10" t="n">
        <f aca="false">O6-L6</f>
        <v>-25000000</v>
      </c>
      <c r="Q6" s="4" t="str">
        <f aca="false">IF(ABS(P6)&lt;J6,IF(ABS(O6)&lt;1,"Under threshold","Below MTA"),IF(P6&gt;0,IF(L6&lt;0,"Recall from counterparty","We call"),IF(L6&gt;0,"Return to counterparty","Counterparty calls us")))</f>
        <v>Counterparty calls us</v>
      </c>
      <c r="R6" s="10" t="n">
        <f aca="false">IF(OR(Q6="Under threshold",Q6="Below MTA"),0,IF(OR(Q6="We call",Q6="Counterparty calls us"),ROUNDUP(ROUND(ABS(P6)/K6,6),0),ROUNDDOWN(ROUND(ABS(P6)/K6,6),0))*K6)</f>
        <v>25000000</v>
      </c>
      <c r="S6" s="10" t="n">
        <f aca="false">IF(N6+M6&gt;0,MAX(0,N6+M6-I6),-MAX(0,-(N6+M6)-I6))-L6</f>
        <v>-25500000</v>
      </c>
      <c r="T6" s="4" t="str">
        <f aca="false">IF(R6=0,Q6,IF(ABS(P6-S6)&gt;MAX(Inputs!$B$9*ABS(N6),Inputs!$B$10),"Disputed","Agreed"))</f>
        <v>Agreed</v>
      </c>
      <c r="U6" s="10" t="n">
        <f aca="false">IF(T6="Disputed",MIN(ABS(P6),ABS(S6)),R6)</f>
        <v>25000000</v>
      </c>
    </row>
    <row r="7" customFormat="false" ht="15" hidden="false" customHeight="false" outlineLevel="0" collapsed="false">
      <c r="A7" s="4" t="s">
        <v>42</v>
      </c>
      <c r="B7" s="4" t="s">
        <v>38</v>
      </c>
      <c r="C7" s="4" t="s">
        <v>43</v>
      </c>
      <c r="D7" s="9" t="n">
        <v>63000000</v>
      </c>
      <c r="E7" s="9" t="n">
        <v>0</v>
      </c>
      <c r="F7" s="9" t="n">
        <v>1800000</v>
      </c>
      <c r="G7" s="9" t="n">
        <v>0</v>
      </c>
      <c r="H7" s="9" t="n">
        <v>0</v>
      </c>
      <c r="I7" s="9" t="n">
        <v>10000000</v>
      </c>
      <c r="J7" s="9" t="n">
        <v>500000</v>
      </c>
      <c r="K7" s="9" t="n">
        <v>100000</v>
      </c>
      <c r="L7" s="9" t="n">
        <v>52700000</v>
      </c>
      <c r="M7" s="9" t="n">
        <v>0</v>
      </c>
      <c r="N7" s="10" t="n">
        <f aca="false">D7+E7*Inputs!$B$5+F7*Inputs!$B$6+G7*Inputs!$B$7+H7*Inputs!$B$8</f>
        <v>63000000</v>
      </c>
      <c r="O7" s="10" t="n">
        <f aca="false">IF(N7&gt;0,MAX(0,N7-I7),-MAX(0,-N7-I7))</f>
        <v>53000000</v>
      </c>
      <c r="P7" s="10" t="n">
        <f aca="false">O7-L7</f>
        <v>300000</v>
      </c>
      <c r="Q7" s="4" t="str">
        <f aca="false">IF(ABS(P7)&lt;J7,IF(ABS(O7)&lt;1,"Under threshold","Below MTA"),IF(P7&gt;0,IF(L7&lt;0,"Recall from counterparty","We call"),IF(L7&gt;0,"Return to counterparty","Counterparty calls us")))</f>
        <v>Below MTA</v>
      </c>
      <c r="R7" s="10" t="n">
        <f aca="false">IF(OR(Q7="Under threshold",Q7="Below MTA"),0,IF(OR(Q7="We call",Q7="Counterparty calls us"),ROUNDUP(ROUND(ABS(P7)/K7,6),0),ROUNDDOWN(ROUND(ABS(P7)/K7,6),0))*K7)</f>
        <v>0</v>
      </c>
      <c r="S7" s="10" t="n">
        <f aca="false">IF(N7+M7&gt;0,MAX(0,N7+M7-I7),-MAX(0,-(N7+M7)-I7))-L7</f>
        <v>300000</v>
      </c>
      <c r="T7" s="4" t="str">
        <f aca="false">IF(R7=0,Q7,IF(ABS(P7-S7)&gt;MAX(Inputs!$B$9*ABS(N7),Inputs!$B$10),"Disputed","Agreed"))</f>
        <v>Below MTA</v>
      </c>
      <c r="U7" s="10" t="n">
        <f aca="false">IF(T7="Disputed",MIN(ABS(P7),ABS(S7)),R7)</f>
        <v>0</v>
      </c>
    </row>
    <row r="8" customFormat="false" ht="15" hidden="false" customHeight="false" outlineLevel="0" collapsed="false">
      <c r="A8" s="4" t="s">
        <v>44</v>
      </c>
      <c r="B8" s="4" t="s">
        <v>45</v>
      </c>
      <c r="C8" s="4" t="s">
        <v>46</v>
      </c>
      <c r="D8" s="9" t="n">
        <v>112000000</v>
      </c>
      <c r="E8" s="9" t="n">
        <v>0</v>
      </c>
      <c r="F8" s="9" t="n">
        <v>0</v>
      </c>
      <c r="G8" s="9" t="n">
        <v>3200000</v>
      </c>
      <c r="H8" s="9" t="n">
        <v>0</v>
      </c>
      <c r="I8" s="9" t="n">
        <v>20000000</v>
      </c>
      <c r="J8" s="9" t="n">
        <v>1000000</v>
      </c>
      <c r="K8" s="9" t="n">
        <v>100000</v>
      </c>
      <c r="L8" s="9" t="n">
        <v>60000000</v>
      </c>
      <c r="M8" s="9" t="n">
        <v>-19000000</v>
      </c>
      <c r="N8" s="10" t="n">
        <f aca="false">D8+E8*Inputs!$B$5+F8*Inputs!$B$6+G8*Inputs!$B$7+H8*Inputs!$B$8</f>
        <v>112000000</v>
      </c>
      <c r="O8" s="10" t="n">
        <f aca="false">IF(N8&gt;0,MAX(0,N8-I8),-MAX(0,-N8-I8))</f>
        <v>92000000</v>
      </c>
      <c r="P8" s="10" t="n">
        <f aca="false">O8-L8</f>
        <v>32000000</v>
      </c>
      <c r="Q8" s="4" t="str">
        <f aca="false">IF(ABS(P8)&lt;J8,IF(ABS(O8)&lt;1,"Under threshold","Below MTA"),IF(P8&gt;0,IF(L8&lt;0,"Recall from counterparty","We call"),IF(L8&gt;0,"Return to counterparty","Counterparty calls us")))</f>
        <v>We call</v>
      </c>
      <c r="R8" s="10" t="n">
        <f aca="false">IF(OR(Q8="Under threshold",Q8="Below MTA"),0,IF(OR(Q8="We call",Q8="Counterparty calls us"),ROUNDUP(ROUND(ABS(P8)/K8,6),0),ROUNDDOWN(ROUND(ABS(P8)/K8,6),0))*K8)</f>
        <v>32000000</v>
      </c>
      <c r="S8" s="10" t="n">
        <f aca="false">IF(N8+M8&gt;0,MAX(0,N8+M8-I8),-MAX(0,-(N8+M8)-I8))-L8</f>
        <v>13000000</v>
      </c>
      <c r="T8" s="4" t="str">
        <f aca="false">IF(R8=0,Q8,IF(ABS(P8-S8)&gt;MAX(Inputs!$B$9*ABS(N8),Inputs!$B$10),"Disputed","Agreed"))</f>
        <v>Disputed</v>
      </c>
      <c r="U8" s="10" t="n">
        <f aca="false">IF(T8="Disputed",MIN(ABS(P8),ABS(S8)),R8)</f>
        <v>13000000</v>
      </c>
    </row>
    <row r="9" customFormat="false" ht="15" hidden="false" customHeight="false" outlineLevel="0" collapsed="false">
      <c r="A9" s="4" t="s">
        <v>47</v>
      </c>
      <c r="B9" s="4" t="s">
        <v>48</v>
      </c>
      <c r="C9" s="4" t="s">
        <v>49</v>
      </c>
      <c r="D9" s="9" t="n">
        <v>-48000000</v>
      </c>
      <c r="E9" s="9" t="n">
        <v>50000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250000</v>
      </c>
      <c r="K9" s="9" t="n">
        <v>100000</v>
      </c>
      <c r="L9" s="9" t="n">
        <v>-56000000</v>
      </c>
      <c r="M9" s="9" t="n">
        <v>0</v>
      </c>
      <c r="N9" s="10" t="n">
        <f aca="false">D9+E9*Inputs!$B$5+F9*Inputs!$B$6+G9*Inputs!$B$7+H9*Inputs!$B$8</f>
        <v>-48000000</v>
      </c>
      <c r="O9" s="10" t="n">
        <f aca="false">IF(N9&gt;0,MAX(0,N9-I9),-MAX(0,-N9-I9))</f>
        <v>-48000000</v>
      </c>
      <c r="P9" s="10" t="n">
        <f aca="false">O9-L9</f>
        <v>8000000</v>
      </c>
      <c r="Q9" s="4" t="str">
        <f aca="false">IF(ABS(P9)&lt;J9,IF(ABS(O9)&lt;1,"Under threshold","Below MTA"),IF(P9&gt;0,IF(L9&lt;0,"Recall from counterparty","We call"),IF(L9&gt;0,"Return to counterparty","Counterparty calls us")))</f>
        <v>Recall from counterparty</v>
      </c>
      <c r="R9" s="10" t="n">
        <f aca="false">IF(OR(Q9="Under threshold",Q9="Below MTA"),0,IF(OR(Q9="We call",Q9="Counterparty calls us"),ROUNDUP(ROUND(ABS(P9)/K9,6),0),ROUNDDOWN(ROUND(ABS(P9)/K9,6),0))*K9)</f>
        <v>8000000</v>
      </c>
      <c r="S9" s="10" t="n">
        <f aca="false">IF(N9+M9&gt;0,MAX(0,N9+M9-I9),-MAX(0,-(N9+M9)-I9))-L9</f>
        <v>8000000</v>
      </c>
      <c r="T9" s="4" t="str">
        <f aca="false">IF(R9=0,Q9,IF(ABS(P9-S9)&gt;MAX(Inputs!$B$9*ABS(N9),Inputs!$B$10),"Disputed","Agreed"))</f>
        <v>Agreed</v>
      </c>
      <c r="U9" s="10" t="n">
        <f aca="false">IF(T9="Disputed",MIN(ABS(P9),ABS(S9)),R9)</f>
        <v>8000000</v>
      </c>
    </row>
    <row r="10" customFormat="false" ht="15" hidden="false" customHeight="false" outlineLevel="0" collapsed="false">
      <c r="A10" s="4" t="s">
        <v>50</v>
      </c>
      <c r="B10" s="4" t="s">
        <v>51</v>
      </c>
      <c r="C10" s="4" t="s">
        <v>52</v>
      </c>
      <c r="D10" s="9" t="n">
        <v>21000000</v>
      </c>
      <c r="E10" s="9" t="n">
        <v>-200000</v>
      </c>
      <c r="F10" s="9" t="n">
        <v>500000</v>
      </c>
      <c r="G10" s="9" t="n">
        <v>0</v>
      </c>
      <c r="H10" s="9" t="n">
        <v>0</v>
      </c>
      <c r="I10" s="9" t="n">
        <v>100000000</v>
      </c>
      <c r="J10" s="9" t="n">
        <v>1000000</v>
      </c>
      <c r="K10" s="9" t="n">
        <v>100000</v>
      </c>
      <c r="L10" s="9" t="n">
        <v>0</v>
      </c>
      <c r="M10" s="9" t="n">
        <v>0</v>
      </c>
      <c r="N10" s="10" t="n">
        <f aca="false">D10+E10*Inputs!$B$5+F10*Inputs!$B$6+G10*Inputs!$B$7+H10*Inputs!$B$8</f>
        <v>21000000</v>
      </c>
      <c r="O10" s="10" t="n">
        <f aca="false">IF(N10&gt;0,MAX(0,N10-I10),-MAX(0,-N10-I10))</f>
        <v>0</v>
      </c>
      <c r="P10" s="10" t="n">
        <f aca="false">O10-L10</f>
        <v>0</v>
      </c>
      <c r="Q10" s="4" t="str">
        <f aca="false">IF(ABS(P10)&lt;J10,IF(ABS(O10)&lt;1,"Under threshold","Below MTA"),IF(P10&gt;0,IF(L10&lt;0,"Recall from counterparty","We call"),IF(L10&gt;0,"Return to counterparty","Counterparty calls us")))</f>
        <v>Under threshold</v>
      </c>
      <c r="R10" s="10" t="n">
        <f aca="false">IF(OR(Q10="Under threshold",Q10="Below MTA"),0,IF(OR(Q10="We call",Q10="Counterparty calls us"),ROUNDUP(ROUND(ABS(P10)/K10,6),0),ROUNDDOWN(ROUND(ABS(P10)/K10,6),0))*K10)</f>
        <v>0</v>
      </c>
      <c r="S10" s="10" t="n">
        <f aca="false">IF(N10+M10&gt;0,MAX(0,N10+M10-I10),-MAX(0,-(N10+M10)-I10))-L10</f>
        <v>0</v>
      </c>
      <c r="T10" s="4" t="str">
        <f aca="false">IF(R10=0,Q10,IF(ABS(P10-S10)&gt;MAX(Inputs!$B$9*ABS(N10),Inputs!$B$10),"Disputed","Agreed"))</f>
        <v>Under threshold</v>
      </c>
      <c r="U10" s="10" t="n">
        <f aca="false">IF(T10="Disputed",MIN(ABS(P10),ABS(S10)),R10)</f>
        <v>0</v>
      </c>
    </row>
    <row r="11" customFormat="false" ht="15" hidden="false" customHeight="false" outlineLevel="0" collapsed="false">
      <c r="A11" s="4" t="s">
        <v>53</v>
      </c>
      <c r="B11" s="4" t="s">
        <v>54</v>
      </c>
      <c r="C11" s="4" t="s">
        <v>55</v>
      </c>
      <c r="D11" s="9" t="n">
        <v>145000000</v>
      </c>
      <c r="E11" s="9" t="n">
        <v>0</v>
      </c>
      <c r="F11" s="9" t="n">
        <v>0</v>
      </c>
      <c r="G11" s="9" t="n">
        <v>0</v>
      </c>
      <c r="H11" s="9" t="n">
        <v>4000000</v>
      </c>
      <c r="I11" s="9" t="n">
        <v>30000000</v>
      </c>
      <c r="J11" s="9" t="n">
        <v>500000</v>
      </c>
      <c r="K11" s="9" t="n">
        <v>100000</v>
      </c>
      <c r="L11" s="9" t="n">
        <v>90000000</v>
      </c>
      <c r="M11" s="9" t="n">
        <v>1500000</v>
      </c>
      <c r="N11" s="10" t="n">
        <f aca="false">D11+E11*Inputs!$B$5+F11*Inputs!$B$6+G11*Inputs!$B$7+H11*Inputs!$B$8</f>
        <v>145000000</v>
      </c>
      <c r="O11" s="10" t="n">
        <f aca="false">IF(N11&gt;0,MAX(0,N11-I11),-MAX(0,-N11-I11))</f>
        <v>115000000</v>
      </c>
      <c r="P11" s="10" t="n">
        <f aca="false">O11-L11</f>
        <v>25000000</v>
      </c>
      <c r="Q11" s="4" t="str">
        <f aca="false">IF(ABS(P11)&lt;J11,IF(ABS(O11)&lt;1,"Under threshold","Below MTA"),IF(P11&gt;0,IF(L11&lt;0,"Recall from counterparty","We call"),IF(L11&gt;0,"Return to counterparty","Counterparty calls us")))</f>
        <v>We call</v>
      </c>
      <c r="R11" s="10" t="n">
        <f aca="false">IF(OR(Q11="Under threshold",Q11="Below MTA"),0,IF(OR(Q11="We call",Q11="Counterparty calls us"),ROUNDUP(ROUND(ABS(P11)/K11,6),0),ROUNDDOWN(ROUND(ABS(P11)/K11,6),0))*K11)</f>
        <v>25000000</v>
      </c>
      <c r="S11" s="10" t="n">
        <f aca="false">IF(N11+M11&gt;0,MAX(0,N11+M11-I11),-MAX(0,-(N11+M11)-I11))-L11</f>
        <v>26500000</v>
      </c>
      <c r="T11" s="4" t="str">
        <f aca="false">IF(R11=0,Q11,IF(ABS(P11-S11)&gt;MAX(Inputs!$B$9*ABS(N11),Inputs!$B$10),"Disputed","Agreed"))</f>
        <v>Agreed</v>
      </c>
      <c r="U11" s="10" t="n">
        <f aca="false">IF(T11="Disputed",MIN(ABS(P11),ABS(S11)),R11)</f>
        <v>25000000</v>
      </c>
    </row>
    <row r="12" customFormat="false" ht="15" hidden="false" customHeight="false" outlineLevel="0" collapsed="false">
      <c r="A12" s="4" t="s">
        <v>56</v>
      </c>
      <c r="B12" s="4" t="s">
        <v>57</v>
      </c>
      <c r="C12" s="4" t="s">
        <v>43</v>
      </c>
      <c r="D12" s="9" t="n">
        <v>-32000000</v>
      </c>
      <c r="E12" s="9" t="n">
        <v>0</v>
      </c>
      <c r="F12" s="9" t="n">
        <v>-1500000</v>
      </c>
      <c r="G12" s="9" t="n">
        <v>0</v>
      </c>
      <c r="H12" s="9" t="n">
        <v>0</v>
      </c>
      <c r="I12" s="9" t="n">
        <v>20000000</v>
      </c>
      <c r="J12" s="9" t="n">
        <v>1000000</v>
      </c>
      <c r="K12" s="9" t="n">
        <v>100000</v>
      </c>
      <c r="L12" s="9" t="n">
        <v>0</v>
      </c>
      <c r="M12" s="9" t="n">
        <v>0</v>
      </c>
      <c r="N12" s="10" t="n">
        <f aca="false">D12+E12*Inputs!$B$5+F12*Inputs!$B$6+G12*Inputs!$B$7+H12*Inputs!$B$8</f>
        <v>-32000000</v>
      </c>
      <c r="O12" s="10" t="n">
        <f aca="false">IF(N12&gt;0,MAX(0,N12-I12),-MAX(0,-N12-I12))</f>
        <v>-12000000</v>
      </c>
      <c r="P12" s="10" t="n">
        <f aca="false">O12-L12</f>
        <v>-12000000</v>
      </c>
      <c r="Q12" s="4" t="str">
        <f aca="false">IF(ABS(P12)&lt;J12,IF(ABS(O12)&lt;1,"Under threshold","Below MTA"),IF(P12&gt;0,IF(L12&lt;0,"Recall from counterparty","We call"),IF(L12&gt;0,"Return to counterparty","Counterparty calls us")))</f>
        <v>Counterparty calls us</v>
      </c>
      <c r="R12" s="10" t="n">
        <f aca="false">IF(OR(Q12="Under threshold",Q12="Below MTA"),0,IF(OR(Q12="We call",Q12="Counterparty calls us"),ROUNDUP(ROUND(ABS(P12)/K12,6),0),ROUNDDOWN(ROUND(ABS(P12)/K12,6),0))*K12)</f>
        <v>12000000</v>
      </c>
      <c r="S12" s="10" t="n">
        <f aca="false">IF(N12+M12&gt;0,MAX(0,N12+M12-I12),-MAX(0,-(N12+M12)-I12))-L12</f>
        <v>-12000000</v>
      </c>
      <c r="T12" s="4" t="str">
        <f aca="false">IF(R12=0,Q12,IF(ABS(P12-S12)&gt;MAX(Inputs!$B$9*ABS(N12),Inputs!$B$10),"Disputed","Agreed"))</f>
        <v>Agreed</v>
      </c>
      <c r="U12" s="10" t="n">
        <f aca="false">IF(T12="Disputed",MIN(ABS(P12),ABS(S12)),R12)</f>
        <v>12000000</v>
      </c>
    </row>
    <row r="14" customFormat="false" ht="15" hidden="false" customHeight="false" outlineLevel="0" collapsed="false">
      <c r="A14" s="3" t="s">
        <v>58</v>
      </c>
    </row>
    <row r="15" customFormat="false" ht="15" hidden="false" customHeight="false" outlineLevel="0" collapsed="false">
      <c r="A15" s="4" t="s">
        <v>59</v>
      </c>
      <c r="B15" s="11" t="n">
        <f aca="false">COUNTIF(R5:R12,"&gt;0")</f>
        <v>6</v>
      </c>
    </row>
    <row r="16" customFormat="false" ht="15" hidden="false" customHeight="false" outlineLevel="0" collapsed="false">
      <c r="A16" s="4" t="s">
        <v>60</v>
      </c>
      <c r="B16" s="12" t="n">
        <f aca="false">SUMIFS(R5:R12,Q5:Q12,"We call")+SUMIFS(R5:R12,Q5:Q12,"Recall from counterparty")</f>
        <v>99000000</v>
      </c>
    </row>
    <row r="17" customFormat="false" ht="15" hidden="false" customHeight="false" outlineLevel="0" collapsed="false">
      <c r="A17" s="4" t="s">
        <v>61</v>
      </c>
      <c r="B17" s="12" t="n">
        <f aca="false">SUMIFS(R5:R12,Q5:Q12,"Counterparty calls us")+SUMIFS(R5:R12,Q5:Q12,"Return to counterparty")</f>
        <v>37000000</v>
      </c>
    </row>
    <row r="18" customFormat="false" ht="15" hidden="false" customHeight="false" outlineLevel="0" collapsed="false">
      <c r="A18" s="4" t="s">
        <v>62</v>
      </c>
      <c r="B18" s="11" t="n">
        <f aca="false">COUNTIF(T5:T12,"Disputed")</f>
        <v>1</v>
      </c>
    </row>
    <row r="19" customFormat="false" ht="15" hidden="false" customHeight="false" outlineLevel="0" collapsed="false">
      <c r="A19" s="4" t="s">
        <v>63</v>
      </c>
      <c r="B19" s="12" t="n">
        <f aca="false">SUMPRODUCT((T5:T12="Disputed")*(R5:R12-U5:U12))</f>
        <v>19000000</v>
      </c>
    </row>
    <row r="21" customFormat="false" ht="15" hidden="false" customHeight="false" outlineLevel="0" collapsed="false">
      <c r="A21" s="2" t="s">
        <v>64</v>
      </c>
    </row>
  </sheetData>
  <conditionalFormatting sqref="T5:T12">
    <cfRule type="cellIs" priority="2" operator="equal" aboveAverage="0" equalAverage="0" bottom="0" percent="0" rank="0" text="" dxfId="0">
      <formula>"Disputed"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23.85" hidden="false" customHeight="false" outlineLevel="0" collapsed="false">
      <c r="A4" s="8" t="s">
        <v>67</v>
      </c>
      <c r="B4" s="8" t="s">
        <v>68</v>
      </c>
      <c r="C4" s="8" t="s">
        <v>69</v>
      </c>
      <c r="D4" s="8" t="s">
        <v>70</v>
      </c>
    </row>
    <row r="5" customFormat="false" ht="15" hidden="false" customHeight="false" outlineLevel="0" collapsed="false">
      <c r="A5" s="4" t="s">
        <v>71</v>
      </c>
      <c r="B5" s="13" t="n">
        <v>0</v>
      </c>
      <c r="C5" s="14" t="n">
        <v>45</v>
      </c>
      <c r="D5" s="15" t="n">
        <f aca="false">C5/(1-B5)</f>
        <v>45</v>
      </c>
    </row>
    <row r="6" customFormat="false" ht="15" hidden="false" customHeight="false" outlineLevel="0" collapsed="false">
      <c r="A6" s="4" t="s">
        <v>72</v>
      </c>
      <c r="B6" s="13" t="n">
        <v>0.01</v>
      </c>
      <c r="C6" s="14" t="n">
        <v>12</v>
      </c>
      <c r="D6" s="15" t="n">
        <f aca="false">C6/(1-B6)</f>
        <v>12.1212121212121</v>
      </c>
    </row>
    <row r="7" customFormat="false" ht="15" hidden="false" customHeight="false" outlineLevel="0" collapsed="false">
      <c r="A7" s="4" t="s">
        <v>73</v>
      </c>
      <c r="B7" s="13" t="n">
        <v>0.02</v>
      </c>
      <c r="C7" s="14" t="n">
        <v>15</v>
      </c>
      <c r="D7" s="15" t="n">
        <f aca="false">C7/(1-B7)</f>
        <v>15.3061224489796</v>
      </c>
    </row>
    <row r="8" customFormat="false" ht="15" hidden="false" customHeight="false" outlineLevel="0" collapsed="false">
      <c r="A8" s="4" t="s">
        <v>74</v>
      </c>
      <c r="B8" s="13" t="n">
        <v>0.08</v>
      </c>
      <c r="C8" s="14" t="n">
        <v>30</v>
      </c>
      <c r="D8" s="15" t="n">
        <f aca="false">C8/(1-B8)</f>
        <v>32.6086956521739</v>
      </c>
    </row>
    <row r="9" customFormat="false" ht="15" hidden="false" customHeight="false" outlineLevel="0" collapsed="false">
      <c r="A9" s="4" t="s">
        <v>75</v>
      </c>
      <c r="B9" s="13" t="n">
        <v>0.15</v>
      </c>
      <c r="C9" s="14" t="n">
        <v>60</v>
      </c>
      <c r="D9" s="15" t="n">
        <f aca="false">C9/(1-B9)</f>
        <v>70.5882352941177</v>
      </c>
    </row>
    <row r="11" customFormat="false" ht="15" hidden="false" customHeight="false" outlineLevel="0" collapsed="false">
      <c r="A11" s="3" t="s">
        <v>76</v>
      </c>
    </row>
    <row r="12" customFormat="false" ht="23.85" hidden="false" customHeight="false" outlineLevel="0" collapsed="false">
      <c r="A12" s="8" t="s">
        <v>16</v>
      </c>
      <c r="B12" s="8" t="s">
        <v>71</v>
      </c>
      <c r="C12" s="8" t="s">
        <v>72</v>
      </c>
      <c r="D12" s="8" t="s">
        <v>73</v>
      </c>
      <c r="E12" s="8" t="s">
        <v>74</v>
      </c>
      <c r="F12" s="8" t="s">
        <v>75</v>
      </c>
      <c r="G12" s="8" t="s">
        <v>77</v>
      </c>
      <c r="H12" s="8" t="s">
        <v>78</v>
      </c>
      <c r="I12" s="8" t="s">
        <v>79</v>
      </c>
      <c r="J12" s="8" t="s">
        <v>80</v>
      </c>
      <c r="K12" s="8" t="s">
        <v>81</v>
      </c>
    </row>
    <row r="13" customFormat="false" ht="15" hidden="false" customHeight="false" outlineLevel="0" collapsed="false">
      <c r="A13" s="4" t="s">
        <v>37</v>
      </c>
      <c r="B13" s="16" t="s">
        <v>82</v>
      </c>
      <c r="C13" s="16" t="s">
        <v>82</v>
      </c>
      <c r="D13" s="16" t="s">
        <v>82</v>
      </c>
      <c r="E13" s="16" t="s">
        <v>83</v>
      </c>
      <c r="F13" s="16" t="s">
        <v>83</v>
      </c>
      <c r="G13" s="17" t="n">
        <f aca="false">IF('Margin calls'!Q5="Counterparty calls us",'Margin calls'!R5,0)</f>
        <v>0</v>
      </c>
      <c r="H13" s="0" t="str">
        <f aca="false">IF(G13=0,"-",INDEX($A$5:$A$9,MATCH(MIN(IF(B13="Y",$D$5,1000000000),IF(C13="Y",$D$6,1000000000),IF(D13="Y",$D$7,1000000000),IF(E13="Y",$D$8,1000000000),IF(F13="Y",$D$9,1000000000)),CHOOSE({1,2,3,4,5},IF(B13="Y",$D$5,1000000000),IF(C13="Y",$D$6,1000000000),IF(D13="Y",$D$7,1000000000),IF(E13="Y",$D$8,1000000000),IF(F13="Y",$D$9,1000000000)),0)))</f>
        <v>-</v>
      </c>
      <c r="I13" s="18" t="n">
        <f aca="false">IF(G13=0,0,G13/(1-INDEX($B$5:$B$9,MATCH(H13,$A$5:$A$9,0))))</f>
        <v>0</v>
      </c>
      <c r="J13" s="18" t="n">
        <f aca="false">IF(G13=0,0,I13*INDEX($C$5:$C$9,MATCH(H13,$A$5:$A$9,0))/10000)</f>
        <v>0</v>
      </c>
      <c r="K13" s="18" t="n">
        <f aca="false">G13*$C$5/10000</f>
        <v>0</v>
      </c>
    </row>
    <row r="14" customFormat="false" ht="15" hidden="false" customHeight="false" outlineLevel="0" collapsed="false">
      <c r="A14" s="4" t="s">
        <v>40</v>
      </c>
      <c r="B14" s="16" t="s">
        <v>82</v>
      </c>
      <c r="C14" s="16" t="s">
        <v>82</v>
      </c>
      <c r="D14" s="16" t="s">
        <v>82</v>
      </c>
      <c r="E14" s="16" t="s">
        <v>83</v>
      </c>
      <c r="F14" s="16" t="s">
        <v>83</v>
      </c>
      <c r="G14" s="17" t="n">
        <f aca="false">IF('Margin calls'!Q6="Counterparty calls us",'Margin calls'!R6,0)</f>
        <v>25000000</v>
      </c>
      <c r="H14" s="0" t="str">
        <f aca="false">IF(G14=0,"-",INDEX($A$5:$A$9,MATCH(MIN(IF(B14="Y",$D$5,1000000000),IF(C14="Y",$D$6,1000000000),IF(D14="Y",$D$7,1000000000),IF(E14="Y",$D$8,1000000000),IF(F14="Y",$D$9,1000000000)),CHOOSE({1,2,3,4,5},IF(B14="Y",$D$5,1000000000),IF(C14="Y",$D$6,1000000000),IF(D14="Y",$D$7,1000000000),IF(E14="Y",$D$8,1000000000),IF(F14="Y",$D$9,1000000000)),0)))</f>
        <v>US Treasuries</v>
      </c>
      <c r="I14" s="18" t="n">
        <f aca="false">IF(G14=0,0,G14/(1-INDEX($B$5:$B$9,MATCH(H14,$A$5:$A$9,0))))</f>
        <v>25252525.2525253</v>
      </c>
      <c r="J14" s="18" t="n">
        <f aca="false">IF(G14=0,0,I14*INDEX($C$5:$C$9,MATCH(H14,$A$5:$A$9,0))/10000)</f>
        <v>30303.0303030303</v>
      </c>
      <c r="K14" s="18" t="n">
        <f aca="false">G14*$C$5/10000</f>
        <v>112500</v>
      </c>
    </row>
    <row r="15" customFormat="false" ht="15" hidden="false" customHeight="false" outlineLevel="0" collapsed="false">
      <c r="A15" s="4" t="s">
        <v>42</v>
      </c>
      <c r="B15" s="16" t="s">
        <v>82</v>
      </c>
      <c r="C15" s="16" t="s">
        <v>82</v>
      </c>
      <c r="D15" s="16" t="s">
        <v>83</v>
      </c>
      <c r="E15" s="16" t="s">
        <v>83</v>
      </c>
      <c r="F15" s="16" t="s">
        <v>83</v>
      </c>
      <c r="G15" s="17" t="n">
        <f aca="false">IF('Margin calls'!Q7="Counterparty calls us",'Margin calls'!R7,0)</f>
        <v>0</v>
      </c>
      <c r="H15" s="0" t="str">
        <f aca="false">IF(G15=0,"-",INDEX($A$5:$A$9,MATCH(MIN(IF(B15="Y",$D$5,1000000000),IF(C15="Y",$D$6,1000000000),IF(D15="Y",$D$7,1000000000),IF(E15="Y",$D$8,1000000000),IF(F15="Y",$D$9,1000000000)),CHOOSE({1,2,3,4,5},IF(B15="Y",$D$5,1000000000),IF(C15="Y",$D$6,1000000000),IF(D15="Y",$D$7,1000000000),IF(E15="Y",$D$8,1000000000),IF(F15="Y",$D$9,1000000000)),0)))</f>
        <v>-</v>
      </c>
      <c r="I15" s="18" t="n">
        <f aca="false">IF(G15=0,0,G15/(1-INDEX($B$5:$B$9,MATCH(H15,$A$5:$A$9,0))))</f>
        <v>0</v>
      </c>
      <c r="J15" s="18" t="n">
        <f aca="false">IF(G15=0,0,I15*INDEX($C$5:$C$9,MATCH(H15,$A$5:$A$9,0))/10000)</f>
        <v>0</v>
      </c>
      <c r="K15" s="18" t="n">
        <f aca="false">G15*$C$5/10000</f>
        <v>0</v>
      </c>
    </row>
    <row r="16" customFormat="false" ht="15" hidden="false" customHeight="false" outlineLevel="0" collapsed="false">
      <c r="A16" s="4" t="s">
        <v>44</v>
      </c>
      <c r="B16" s="16" t="s">
        <v>82</v>
      </c>
      <c r="C16" s="16" t="s">
        <v>82</v>
      </c>
      <c r="D16" s="16" t="s">
        <v>82</v>
      </c>
      <c r="E16" s="16" t="s">
        <v>82</v>
      </c>
      <c r="F16" s="16" t="s">
        <v>83</v>
      </c>
      <c r="G16" s="17" t="n">
        <f aca="false">IF('Margin calls'!Q8="Counterparty calls us",'Margin calls'!R8,0)</f>
        <v>0</v>
      </c>
      <c r="H16" s="0" t="str">
        <f aca="false">IF(G16=0,"-",INDEX($A$5:$A$9,MATCH(MIN(IF(B16="Y",$D$5,1000000000),IF(C16="Y",$D$6,1000000000),IF(D16="Y",$D$7,1000000000),IF(E16="Y",$D$8,1000000000),IF(F16="Y",$D$9,1000000000)),CHOOSE({1,2,3,4,5},IF(B16="Y",$D$5,1000000000),IF(C16="Y",$D$6,1000000000),IF(D16="Y",$D$7,1000000000),IF(E16="Y",$D$8,1000000000),IF(F16="Y",$D$9,1000000000)),0)))</f>
        <v>-</v>
      </c>
      <c r="I16" s="18" t="n">
        <f aca="false">IF(G16=0,0,G16/(1-INDEX($B$5:$B$9,MATCH(H16,$A$5:$A$9,0))))</f>
        <v>0</v>
      </c>
      <c r="J16" s="18" t="n">
        <f aca="false">IF(G16=0,0,I16*INDEX($C$5:$C$9,MATCH(H16,$A$5:$A$9,0))/10000)</f>
        <v>0</v>
      </c>
      <c r="K16" s="18" t="n">
        <f aca="false">G16*$C$5/10000</f>
        <v>0</v>
      </c>
    </row>
    <row r="17" customFormat="false" ht="15" hidden="false" customHeight="false" outlineLevel="0" collapsed="false">
      <c r="A17" s="4" t="s">
        <v>47</v>
      </c>
      <c r="B17" s="16" t="s">
        <v>82</v>
      </c>
      <c r="C17" s="16" t="s">
        <v>82</v>
      </c>
      <c r="D17" s="16" t="s">
        <v>82</v>
      </c>
      <c r="E17" s="16" t="s">
        <v>82</v>
      </c>
      <c r="F17" s="16" t="s">
        <v>82</v>
      </c>
      <c r="G17" s="17" t="n">
        <f aca="false">IF('Margin calls'!Q9="Counterparty calls us",'Margin calls'!R9,0)</f>
        <v>0</v>
      </c>
      <c r="H17" s="0" t="str">
        <f aca="false">IF(G17=0,"-",INDEX($A$5:$A$9,MATCH(MIN(IF(B17="Y",$D$5,1000000000),IF(C17="Y",$D$6,1000000000),IF(D17="Y",$D$7,1000000000),IF(E17="Y",$D$8,1000000000),IF(F17="Y",$D$9,1000000000)),CHOOSE({1,2,3,4,5},IF(B17="Y",$D$5,1000000000),IF(C17="Y",$D$6,1000000000),IF(D17="Y",$D$7,1000000000),IF(E17="Y",$D$8,1000000000),IF(F17="Y",$D$9,1000000000)),0)))</f>
        <v>-</v>
      </c>
      <c r="I17" s="18" t="n">
        <f aca="false">IF(G17=0,0,G17/(1-INDEX($B$5:$B$9,MATCH(H17,$A$5:$A$9,0))))</f>
        <v>0</v>
      </c>
      <c r="J17" s="18" t="n">
        <f aca="false">IF(G17=0,0,I17*INDEX($C$5:$C$9,MATCH(H17,$A$5:$A$9,0))/10000)</f>
        <v>0</v>
      </c>
      <c r="K17" s="18" t="n">
        <f aca="false">G17*$C$5/10000</f>
        <v>0</v>
      </c>
    </row>
    <row r="18" customFormat="false" ht="15" hidden="false" customHeight="false" outlineLevel="0" collapsed="false">
      <c r="A18" s="4" t="s">
        <v>50</v>
      </c>
      <c r="B18" s="16" t="s">
        <v>82</v>
      </c>
      <c r="C18" s="16" t="s">
        <v>82</v>
      </c>
      <c r="D18" s="16" t="s">
        <v>82</v>
      </c>
      <c r="E18" s="16" t="s">
        <v>83</v>
      </c>
      <c r="F18" s="16" t="s">
        <v>83</v>
      </c>
      <c r="G18" s="17" t="n">
        <f aca="false">IF('Margin calls'!Q10="Counterparty calls us",'Margin calls'!R10,0)</f>
        <v>0</v>
      </c>
      <c r="H18" s="0" t="str">
        <f aca="false">IF(G18=0,"-",INDEX($A$5:$A$9,MATCH(MIN(IF(B18="Y",$D$5,1000000000),IF(C18="Y",$D$6,1000000000),IF(D18="Y",$D$7,1000000000),IF(E18="Y",$D$8,1000000000),IF(F18="Y",$D$9,1000000000)),CHOOSE({1,2,3,4,5},IF(B18="Y",$D$5,1000000000),IF(C18="Y",$D$6,1000000000),IF(D18="Y",$D$7,1000000000),IF(E18="Y",$D$8,1000000000),IF(F18="Y",$D$9,1000000000)),0)))</f>
        <v>-</v>
      </c>
      <c r="I18" s="18" t="n">
        <f aca="false">IF(G18=0,0,G18/(1-INDEX($B$5:$B$9,MATCH(H18,$A$5:$A$9,0))))</f>
        <v>0</v>
      </c>
      <c r="J18" s="18" t="n">
        <f aca="false">IF(G18=0,0,I18*INDEX($C$5:$C$9,MATCH(H18,$A$5:$A$9,0))/10000)</f>
        <v>0</v>
      </c>
      <c r="K18" s="18" t="n">
        <f aca="false">G18*$C$5/10000</f>
        <v>0</v>
      </c>
    </row>
    <row r="19" customFormat="false" ht="15" hidden="false" customHeight="false" outlineLevel="0" collapsed="false">
      <c r="A19" s="4" t="s">
        <v>53</v>
      </c>
      <c r="B19" s="16" t="s">
        <v>82</v>
      </c>
      <c r="C19" s="16" t="s">
        <v>82</v>
      </c>
      <c r="D19" s="16" t="s">
        <v>83</v>
      </c>
      <c r="E19" s="16" t="s">
        <v>83</v>
      </c>
      <c r="F19" s="16" t="s">
        <v>83</v>
      </c>
      <c r="G19" s="17" t="n">
        <f aca="false">IF('Margin calls'!Q11="Counterparty calls us",'Margin calls'!R11,0)</f>
        <v>0</v>
      </c>
      <c r="H19" s="0" t="str">
        <f aca="false">IF(G19=0,"-",INDEX($A$5:$A$9,MATCH(MIN(IF(B19="Y",$D$5,1000000000),IF(C19="Y",$D$6,1000000000),IF(D19="Y",$D$7,1000000000),IF(E19="Y",$D$8,1000000000),IF(F19="Y",$D$9,1000000000)),CHOOSE({1,2,3,4,5},IF(B19="Y",$D$5,1000000000),IF(C19="Y",$D$6,1000000000),IF(D19="Y",$D$7,1000000000),IF(E19="Y",$D$8,1000000000),IF(F19="Y",$D$9,1000000000)),0)))</f>
        <v>-</v>
      </c>
      <c r="I19" s="18" t="n">
        <f aca="false">IF(G19=0,0,G19/(1-INDEX($B$5:$B$9,MATCH(H19,$A$5:$A$9,0))))</f>
        <v>0</v>
      </c>
      <c r="J19" s="18" t="n">
        <f aca="false">IF(G19=0,0,I19*INDEX($C$5:$C$9,MATCH(H19,$A$5:$A$9,0))/10000)</f>
        <v>0</v>
      </c>
      <c r="K19" s="18" t="n">
        <f aca="false">G19*$C$5/10000</f>
        <v>0</v>
      </c>
    </row>
    <row r="20" customFormat="false" ht="15" hidden="false" customHeight="false" outlineLevel="0" collapsed="false">
      <c r="A20" s="4" t="s">
        <v>56</v>
      </c>
      <c r="B20" s="16" t="s">
        <v>82</v>
      </c>
      <c r="C20" s="16" t="s">
        <v>83</v>
      </c>
      <c r="D20" s="16" t="s">
        <v>83</v>
      </c>
      <c r="E20" s="16" t="s">
        <v>83</v>
      </c>
      <c r="F20" s="16" t="s">
        <v>83</v>
      </c>
      <c r="G20" s="17" t="n">
        <f aca="false">IF('Margin calls'!Q12="Counterparty calls us",'Margin calls'!R12,0)</f>
        <v>12000000</v>
      </c>
      <c r="H20" s="0" t="str">
        <f aca="false">IF(G20=0,"-",INDEX($A$5:$A$9,MATCH(MIN(IF(B20="Y",$D$5,1000000000),IF(C20="Y",$D$6,1000000000),IF(D20="Y",$D$7,1000000000),IF(E20="Y",$D$8,1000000000),IF(F20="Y",$D$9,1000000000)),CHOOSE({1,2,3,4,5},IF(B20="Y",$D$5,1000000000),IF(C20="Y",$D$6,1000000000),IF(D20="Y",$D$7,1000000000),IF(E20="Y",$D$8,1000000000),IF(F20="Y",$D$9,1000000000)),0)))</f>
        <v>Cash (USD)</v>
      </c>
      <c r="I20" s="18" t="n">
        <f aca="false">IF(G20=0,0,G20/(1-INDEX($B$5:$B$9,MATCH(H20,$A$5:$A$9,0))))</f>
        <v>12000000</v>
      </c>
      <c r="J20" s="18" t="n">
        <f aca="false">IF(G20=0,0,I20*INDEX($C$5:$C$9,MATCH(H20,$A$5:$A$9,0))/10000)</f>
        <v>54000</v>
      </c>
      <c r="K20" s="18" t="n">
        <f aca="false">G20*$C$5/10000</f>
        <v>54000</v>
      </c>
    </row>
    <row r="22" customFormat="false" ht="15" hidden="false" customHeight="false" outlineLevel="0" collapsed="false">
      <c r="A22" s="19" t="s">
        <v>84</v>
      </c>
      <c r="G22" s="12" t="n">
        <f aca="false">SUM(G13:G20)</f>
        <v>37000000</v>
      </c>
      <c r="I22" s="12" t="n">
        <f aca="false">SUM(I13:I20)</f>
        <v>37252525.2525253</v>
      </c>
      <c r="J22" s="12" t="n">
        <f aca="false">SUM(J13:J20)</f>
        <v>84303.0303030303</v>
      </c>
      <c r="K22" s="12" t="n">
        <f aca="false">SUM(K13:K20)</f>
        <v>166500</v>
      </c>
    </row>
    <row r="23" customFormat="false" ht="15" hidden="false" customHeight="false" outlineLevel="0" collapsed="false">
      <c r="A23" s="19" t="s">
        <v>85</v>
      </c>
      <c r="B23" s="12" t="n">
        <f aca="false">K22-J22</f>
        <v>82196.9696969697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2026-09-29T10:40:21Z</dcterms:created>
  <dc:creator>openpyxl</dc:creator>
  <dc:description/>
  <dc:language>en-US</dc:language>
  <cp:lastModifiedBy/>
  <dcterms:modified xsi:type="dcterms:W3CDTF">2026-09-29T10:40:21Z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